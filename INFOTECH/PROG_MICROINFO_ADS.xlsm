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D:\Faculdade\ADS\1 M\Programação em Microinformática\Projeto\Learning-VBA\INFOTECH\"/>
    </mc:Choice>
  </mc:AlternateContent>
  <xr:revisionPtr revIDLastSave="0" documentId="13_ncr:1_{82B7BA3E-F5C4-44A8-8435-2864EDE6C6AA}" xr6:coauthVersionLast="47" xr6:coauthVersionMax="47" xr10:uidLastSave="{00000000-0000-0000-0000-000000000000}"/>
  <bookViews>
    <workbookView xWindow="20370" yWindow="-120" windowWidth="21840" windowHeight="13140" tabRatio="1000" activeTab="1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1" r:id="rId5"/>
    <sheet name="TABELA ESTÁTICA" sheetId="10" r:id="rId6"/>
    <sheet name="GRÁFICO COMPARATIVO" sheetId="12" r:id="rId7"/>
    <sheet name="DADOS GRÁFICO" sheetId="7" r:id="rId8"/>
    <sheet name="PEDIDOS" sheetId="6" r:id="rId9"/>
  </sheet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2" l="1"/>
  <c r="I11" i="2"/>
  <c r="I12" i="2"/>
  <c r="I13" i="2"/>
  <c r="I14" i="2"/>
  <c r="I15" i="2"/>
  <c r="I16" i="2"/>
  <c r="I17" i="2"/>
  <c r="I18" i="2"/>
  <c r="I10" i="2"/>
  <c r="H11" i="2"/>
  <c r="H12" i="2"/>
  <c r="H13" i="2"/>
  <c r="H14" i="2"/>
  <c r="H15" i="2"/>
  <c r="H16" i="2"/>
  <c r="H17" i="2"/>
  <c r="H18" i="2"/>
  <c r="H10" i="2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C10" i="2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9" i="2"/>
</calcChain>
</file>

<file path=xl/sharedStrings.xml><?xml version="1.0" encoding="utf-8"?>
<sst xmlns="http://schemas.openxmlformats.org/spreadsheetml/2006/main" count="473" uniqueCount="152">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</sst>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0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baseline="0"/>
              <a:t>Comparativo das Vendas Mensais de 2009 / 2010 com Metas</a:t>
            </a:r>
            <a:endParaRPr lang="pt-B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090-A36E-F57E8ED63CC6}"/>
            </c:ext>
          </c:extLst>
        </c:ser>
        <c:ser>
          <c:idx val="1"/>
          <c:order val="1"/>
          <c:tx>
            <c:v>2010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B3-4090-A36E-F57E8ED63CC6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B3-4090-A36E-F57E8ED63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468780456"/>
        <c:axId val="468785048"/>
      </c:lineChart>
      <c:catAx>
        <c:axId val="468780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INFOTECH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5048"/>
        <c:crosses val="autoZero"/>
        <c:auto val="1"/>
        <c:lblAlgn val="ctr"/>
        <c:lblOffset val="100"/>
        <c:noMultiLvlLbl val="0"/>
      </c:catAx>
      <c:valAx>
        <c:axId val="46878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Faturamento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546F7-2D0D-401C-A10A-C43BE303B3C0}">
  <sheetPr/>
  <sheetViews>
    <sheetView zoomScale="9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2" fmlaLink="$A$1" fmlaRange="$L$21:$M$2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6463" cy="60088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me" refreshedDate="44407.700339236108" createdVersion="7" refreshedVersion="7" minRefreshableVersion="3" recordCount="14" xr:uid="{F1E27897-7802-4246-9043-496B0B0A9930}">
  <cacheSource type="worksheet">
    <worksheetSource ref="B9:F23" sheet="TABELA ESTÁT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57514B-605E-4C28-8B25-CE35C50BE825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zoomScaleNormal="100" workbookViewId="0">
      <selection activeCell="Q10" sqref="Q10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tabSelected="1" zoomScale="90" zoomScaleNormal="90" workbookViewId="0">
      <selection activeCell="H25" sqref="H25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3</v>
      </c>
    </row>
    <row r="2" spans="1:21" ht="19.5" thickBot="1" x14ac:dyDescent="0.3">
      <c r="B2" s="99" t="s">
        <v>3</v>
      </c>
      <c r="C2" s="98"/>
      <c r="D2" s="7"/>
      <c r="E2" s="172"/>
      <c r="F2" s="172"/>
      <c r="G2" s="172"/>
      <c r="H2" s="172"/>
      <c r="I2" s="172"/>
      <c r="J2" s="172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73" t="s">
        <v>2</v>
      </c>
      <c r="C4" s="174"/>
      <c r="D4" s="174"/>
      <c r="E4" s="174"/>
      <c r="F4" s="174"/>
      <c r="G4" s="174"/>
      <c r="H4" s="174"/>
      <c r="I4" s="174"/>
      <c r="J4" s="175"/>
    </row>
    <row r="5" spans="1:21" ht="15.95" customHeight="1" x14ac:dyDescent="0.25">
      <c r="B5" s="86" t="s">
        <v>0</v>
      </c>
      <c r="C5" s="176"/>
      <c r="D5" s="177"/>
      <c r="E5" s="177"/>
      <c r="F5" s="177"/>
      <c r="G5" s="177"/>
      <c r="H5" s="177"/>
      <c r="I5" s="177"/>
      <c r="J5" s="178"/>
    </row>
    <row r="6" spans="1:21" ht="15.95" customHeight="1" thickBot="1" x14ac:dyDescent="0.3">
      <c r="B6" s="87" t="s">
        <v>1</v>
      </c>
      <c r="C6" s="179"/>
      <c r="D6" s="180"/>
      <c r="E6" s="183" t="s">
        <v>91</v>
      </c>
      <c r="F6" s="184"/>
      <c r="G6" s="179"/>
      <c r="H6" s="181"/>
      <c r="I6" s="181"/>
      <c r="J6" s="182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35" t="s">
        <v>8</v>
      </c>
      <c r="C8" s="135"/>
      <c r="D8" s="135"/>
      <c r="E8" s="135"/>
      <c r="F8" s="135"/>
      <c r="G8" s="135"/>
      <c r="H8" s="135"/>
      <c r="I8" s="135"/>
      <c r="J8" s="135"/>
      <c r="L8" s="119" t="s">
        <v>12</v>
      </c>
      <c r="M8" s="120"/>
      <c r="N8" s="120"/>
      <c r="O8" s="120"/>
      <c r="P8" s="120"/>
      <c r="Q8" s="121"/>
    </row>
    <row r="9" spans="1:21" ht="15.95" customHeight="1" thickBot="1" x14ac:dyDescent="0.3">
      <c r="B9" s="94" t="s">
        <v>13</v>
      </c>
      <c r="C9" s="141" t="s">
        <v>14</v>
      </c>
      <c r="D9" s="141"/>
      <c r="E9" s="141"/>
      <c r="F9" s="94" t="s">
        <v>15</v>
      </c>
      <c r="G9" s="94" t="s">
        <v>16</v>
      </c>
      <c r="H9" s="94" t="s">
        <v>17</v>
      </c>
      <c r="I9" s="141" t="s">
        <v>18</v>
      </c>
      <c r="J9" s="141"/>
      <c r="L9" s="122"/>
      <c r="M9" s="123"/>
      <c r="N9" s="123"/>
      <c r="O9" s="123"/>
      <c r="P9" s="123"/>
      <c r="Q9" s="124"/>
    </row>
    <row r="10" spans="1:21" ht="15.95" customHeight="1" x14ac:dyDescent="0.25">
      <c r="B10" s="95">
        <v>2001</v>
      </c>
      <c r="C10" s="143" t="str">
        <f>IF(B10="","",VLOOKUP(B10,PEDIDOS!$B$9:$E$34,2,FALSE))</f>
        <v>Impressora Multi HP</v>
      </c>
      <c r="D10" s="143"/>
      <c r="E10" s="143"/>
      <c r="F10" s="95" t="str">
        <f>IF(B10="","",VLOOKUP(B10,PEDIDOS!$B$9:$E$34,4,FALSE))</f>
        <v>Informática</v>
      </c>
      <c r="G10" s="96">
        <v>2</v>
      </c>
      <c r="H10" s="97">
        <f>IF(B10="","",VLOOKUP(B10,PEDIDOS!$B$9:$E$34,3,FALSE))</f>
        <v>399</v>
      </c>
      <c r="I10" s="142">
        <f>IF(OR(G10="",H10=""),"",PRODUCT(G10:H10))</f>
        <v>798</v>
      </c>
      <c r="J10" s="142"/>
      <c r="L10" s="136" t="s">
        <v>110</v>
      </c>
      <c r="M10" s="137"/>
      <c r="N10" s="137"/>
      <c r="O10" s="138"/>
      <c r="P10" s="139"/>
      <c r="Q10" s="140"/>
    </row>
    <row r="11" spans="1:21" ht="15.95" customHeight="1" x14ac:dyDescent="0.25">
      <c r="B11" s="95">
        <v>2005</v>
      </c>
      <c r="C11" s="143" t="str">
        <f>IF(B11="","",VLOOKUP(B11,PEDIDOS!$B$9:$E$34,2,FALSE))</f>
        <v>Telefone sem fio Motorola</v>
      </c>
      <c r="D11" s="143"/>
      <c r="E11" s="143"/>
      <c r="F11" s="95" t="str">
        <f>IF(B11="","",VLOOKUP(B11,PEDIDOS!$B$9:$E$34,4,FALSE))</f>
        <v>Telefonia</v>
      </c>
      <c r="G11" s="96">
        <v>2</v>
      </c>
      <c r="H11" s="97">
        <f>IF(B11="","",VLOOKUP(B11,PEDIDOS!$B$9:$E$34,3,FALSE))</f>
        <v>125</v>
      </c>
      <c r="I11" s="142">
        <f t="shared" ref="I11:I18" si="0">IF(OR(G11="",H11=""),"",PRODUCT(G11:H11))</f>
        <v>250</v>
      </c>
      <c r="J11" s="142"/>
      <c r="L11" s="129" t="s">
        <v>111</v>
      </c>
      <c r="M11" s="130"/>
      <c r="N11" s="130"/>
      <c r="O11" s="131"/>
      <c r="P11" s="125"/>
      <c r="Q11" s="126"/>
    </row>
    <row r="12" spans="1:21" ht="15.95" customHeight="1" x14ac:dyDescent="0.25">
      <c r="B12" s="95">
        <v>2001</v>
      </c>
      <c r="C12" s="143" t="str">
        <f>IF(B12="","",VLOOKUP(B12,PEDIDOS!$B$9:$E$34,2,FALSE))</f>
        <v>Impressora Multi HP</v>
      </c>
      <c r="D12" s="143"/>
      <c r="E12" s="143"/>
      <c r="F12" s="95" t="str">
        <f>IF(B12="","",VLOOKUP(B12,PEDIDOS!$B$9:$E$34,4,FALSE))</f>
        <v>Informática</v>
      </c>
      <c r="G12" s="96">
        <v>2</v>
      </c>
      <c r="H12" s="97">
        <f>IF(B12="","",VLOOKUP(B12,PEDIDOS!$B$9:$E$34,3,FALSE))</f>
        <v>399</v>
      </c>
      <c r="I12" s="142">
        <f t="shared" si="0"/>
        <v>798</v>
      </c>
      <c r="J12" s="142"/>
      <c r="L12" s="129" t="s">
        <v>19</v>
      </c>
      <c r="M12" s="130"/>
      <c r="N12" s="130"/>
      <c r="O12" s="131"/>
      <c r="P12" s="125"/>
      <c r="Q12" s="126"/>
    </row>
    <row r="13" spans="1:21" ht="15.95" customHeight="1" x14ac:dyDescent="0.25">
      <c r="B13" s="95"/>
      <c r="C13" s="143" t="str">
        <f>IF(B13="","",VLOOKUP(B13,PEDIDOS!$B$9:$E$34,2,FALSE))</f>
        <v/>
      </c>
      <c r="D13" s="143"/>
      <c r="E13" s="143"/>
      <c r="F13" s="95" t="str">
        <f>IF(B13="","",VLOOKUP(B13,PEDIDOS!$B$9:$E$34,4,FALSE))</f>
        <v/>
      </c>
      <c r="G13" s="96"/>
      <c r="H13" s="97" t="str">
        <f>IF(B13="","",VLOOKUP(B13,PEDIDOS!$B$9:$E$34,3,FALSE))</f>
        <v/>
      </c>
      <c r="I13" s="142" t="str">
        <f t="shared" si="0"/>
        <v/>
      </c>
      <c r="J13" s="142"/>
      <c r="L13" s="129" t="s">
        <v>97</v>
      </c>
      <c r="M13" s="130"/>
      <c r="N13" s="130"/>
      <c r="O13" s="131"/>
      <c r="P13" s="125"/>
      <c r="Q13" s="126"/>
    </row>
    <row r="14" spans="1:21" ht="15.95" customHeight="1" x14ac:dyDescent="0.25">
      <c r="B14" s="95"/>
      <c r="C14" s="143" t="str">
        <f>IF(B14="","",VLOOKUP(B14,PEDIDOS!$B$9:$E$34,2,FALSE))</f>
        <v/>
      </c>
      <c r="D14" s="143"/>
      <c r="E14" s="143"/>
      <c r="F14" s="95" t="str">
        <f>IF(B14="","",VLOOKUP(B14,PEDIDOS!$B$9:$E$34,4,FALSE))</f>
        <v/>
      </c>
      <c r="G14" s="96"/>
      <c r="H14" s="97" t="str">
        <f>IF(B14="","",VLOOKUP(B14,PEDIDOS!$B$9:$E$34,3,FALSE))</f>
        <v/>
      </c>
      <c r="I14" s="142" t="str">
        <f t="shared" si="0"/>
        <v/>
      </c>
      <c r="J14" s="142"/>
      <c r="L14" s="129" t="s">
        <v>98</v>
      </c>
      <c r="M14" s="130"/>
      <c r="N14" s="130"/>
      <c r="O14" s="131"/>
      <c r="P14" s="125"/>
      <c r="Q14" s="126"/>
    </row>
    <row r="15" spans="1:21" ht="15.95" customHeight="1" x14ac:dyDescent="0.25">
      <c r="B15" s="95"/>
      <c r="C15" s="143" t="str">
        <f>IF(B15="","",VLOOKUP(B15,PEDIDOS!$B$9:$E$34,2,FALSE))</f>
        <v/>
      </c>
      <c r="D15" s="143"/>
      <c r="E15" s="143"/>
      <c r="F15" s="95" t="str">
        <f>IF(B15="","",VLOOKUP(B15,PEDIDOS!$B$9:$E$34,4,FALSE))</f>
        <v/>
      </c>
      <c r="G15" s="96"/>
      <c r="H15" s="97" t="str">
        <f>IF(B15="","",VLOOKUP(B15,PEDIDOS!$B$9:$E$34,3,FALSE))</f>
        <v/>
      </c>
      <c r="I15" s="142" t="str">
        <f t="shared" si="0"/>
        <v/>
      </c>
      <c r="J15" s="142"/>
      <c r="L15" s="129" t="s">
        <v>99</v>
      </c>
      <c r="M15" s="130"/>
      <c r="N15" s="130"/>
      <c r="O15" s="131"/>
      <c r="P15" s="125"/>
      <c r="Q15" s="126"/>
    </row>
    <row r="16" spans="1:21" ht="15.95" customHeight="1" x14ac:dyDescent="0.25">
      <c r="B16" s="95"/>
      <c r="C16" s="143" t="str">
        <f>IF(B16="","",VLOOKUP(B16,PEDIDOS!$B$9:$E$34,2,FALSE))</f>
        <v/>
      </c>
      <c r="D16" s="143"/>
      <c r="E16" s="143"/>
      <c r="F16" s="95" t="str">
        <f>IF(B16="","",VLOOKUP(B16,PEDIDOS!$B$9:$E$34,4,FALSE))</f>
        <v/>
      </c>
      <c r="G16" s="96"/>
      <c r="H16" s="97" t="str">
        <f>IF(B16="","",VLOOKUP(B16,PEDIDOS!$B$9:$E$34,3,FALSE))</f>
        <v/>
      </c>
      <c r="I16" s="142" t="str">
        <f t="shared" si="0"/>
        <v/>
      </c>
      <c r="J16" s="142"/>
      <c r="L16" s="129" t="s">
        <v>9</v>
      </c>
      <c r="M16" s="130"/>
      <c r="N16" s="130"/>
      <c r="O16" s="131"/>
      <c r="P16" s="127"/>
      <c r="Q16" s="128"/>
    </row>
    <row r="17" spans="2:17" ht="15.95" customHeight="1" x14ac:dyDescent="0.25">
      <c r="B17" s="95"/>
      <c r="C17" s="143" t="str">
        <f>IF(B17="","",VLOOKUP(B17,PEDIDOS!$B$9:$E$34,2,FALSE))</f>
        <v/>
      </c>
      <c r="D17" s="143"/>
      <c r="E17" s="143"/>
      <c r="F17" s="95" t="str">
        <f>IF(B17="","",VLOOKUP(B17,PEDIDOS!$B$9:$E$34,4,FALSE))</f>
        <v/>
      </c>
      <c r="G17" s="96"/>
      <c r="H17" s="97" t="str">
        <f>IF(B17="","",VLOOKUP(B17,PEDIDOS!$B$9:$E$34,3,FALSE))</f>
        <v/>
      </c>
      <c r="I17" s="142" t="str">
        <f t="shared" si="0"/>
        <v/>
      </c>
      <c r="J17" s="142"/>
      <c r="L17" s="129" t="s">
        <v>10</v>
      </c>
      <c r="M17" s="130"/>
      <c r="N17" s="130"/>
      <c r="O17" s="131"/>
      <c r="P17" s="127"/>
      <c r="Q17" s="128"/>
    </row>
    <row r="18" spans="2:17" ht="15.95" customHeight="1" thickBot="1" x14ac:dyDescent="0.3">
      <c r="B18" s="95"/>
      <c r="C18" s="143" t="str">
        <f>IF(B18="","",VLOOKUP(B18,PEDIDOS!$B$9:$E$34,2,FALSE))</f>
        <v/>
      </c>
      <c r="D18" s="143"/>
      <c r="E18" s="143"/>
      <c r="F18" s="95" t="str">
        <f>IF(B18="","",VLOOKUP(B18,PEDIDOS!$B$9:$E$34,4,FALSE))</f>
        <v/>
      </c>
      <c r="G18" s="96"/>
      <c r="H18" s="97" t="str">
        <f>IF(B18="","",VLOOKUP(B18,PEDIDOS!$B$9:$E$34,3,FALSE))</f>
        <v/>
      </c>
      <c r="I18" s="142" t="str">
        <f t="shared" si="0"/>
        <v/>
      </c>
      <c r="J18" s="142"/>
      <c r="L18" s="132" t="s">
        <v>11</v>
      </c>
      <c r="M18" s="133"/>
      <c r="N18" s="133"/>
      <c r="O18" s="134"/>
      <c r="P18" s="117"/>
      <c r="Q18" s="118"/>
    </row>
    <row r="19" spans="2:17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7" ht="15.95" customHeight="1" thickBot="1" x14ac:dyDescent="0.3">
      <c r="B20" s="151"/>
      <c r="C20" s="152"/>
      <c r="D20" s="152"/>
      <c r="E20" s="8"/>
      <c r="F20" s="88" t="s">
        <v>5</v>
      </c>
      <c r="G20" s="89"/>
      <c r="H20" s="157"/>
      <c r="I20" s="158"/>
      <c r="J20" s="159"/>
      <c r="L20" s="162" t="s">
        <v>92</v>
      </c>
      <c r="M20" s="163"/>
      <c r="N20" s="163"/>
      <c r="O20" s="164"/>
    </row>
    <row r="21" spans="2:17" ht="15.95" customHeight="1" x14ac:dyDescent="0.25">
      <c r="B21" s="153"/>
      <c r="C21" s="154"/>
      <c r="D21" s="154"/>
      <c r="E21" s="9"/>
      <c r="F21" s="90" t="s">
        <v>4</v>
      </c>
      <c r="G21" s="91"/>
      <c r="H21" s="169"/>
      <c r="I21" s="170"/>
      <c r="J21" s="171"/>
      <c r="L21" s="57" t="s">
        <v>93</v>
      </c>
      <c r="M21" s="58"/>
      <c r="N21" s="167" t="s">
        <v>112</v>
      </c>
      <c r="O21" s="168"/>
    </row>
    <row r="22" spans="2:17" ht="15.95" customHeight="1" x14ac:dyDescent="0.25">
      <c r="B22" s="153"/>
      <c r="C22" s="154"/>
      <c r="D22" s="154"/>
      <c r="E22" s="9"/>
      <c r="F22" s="90" t="s">
        <v>6</v>
      </c>
      <c r="G22" s="91"/>
      <c r="H22" s="144"/>
      <c r="I22" s="142"/>
      <c r="J22" s="145"/>
      <c r="L22" s="59" t="s">
        <v>94</v>
      </c>
      <c r="M22" s="60"/>
      <c r="N22" s="146" t="s">
        <v>115</v>
      </c>
      <c r="O22" s="147"/>
    </row>
    <row r="23" spans="2:17" ht="15.95" customHeight="1" x14ac:dyDescent="0.25">
      <c r="B23" s="153"/>
      <c r="C23" s="154"/>
      <c r="D23" s="154"/>
      <c r="E23" s="9"/>
      <c r="F23" s="90" t="s">
        <v>114</v>
      </c>
      <c r="G23" s="91"/>
      <c r="H23" s="144"/>
      <c r="I23" s="142"/>
      <c r="J23" s="145"/>
      <c r="L23" s="59" t="s">
        <v>113</v>
      </c>
      <c r="M23" s="60"/>
      <c r="N23" s="146" t="s">
        <v>116</v>
      </c>
      <c r="O23" s="147"/>
    </row>
    <row r="24" spans="2:17" ht="15.95" customHeight="1" thickBot="1" x14ac:dyDescent="0.3">
      <c r="B24" s="155"/>
      <c r="C24" s="156"/>
      <c r="D24" s="156"/>
      <c r="E24" s="10"/>
      <c r="F24" s="92" t="s">
        <v>7</v>
      </c>
      <c r="G24" s="93"/>
      <c r="H24" s="148"/>
      <c r="I24" s="149"/>
      <c r="J24" s="150"/>
      <c r="L24" s="160" t="s">
        <v>95</v>
      </c>
      <c r="M24" s="161"/>
      <c r="N24" s="165" t="s">
        <v>96</v>
      </c>
      <c r="O24" s="166"/>
    </row>
  </sheetData>
  <mergeCells count="58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ID INVÁLIDO" error="Você digitou um ID inválido!" promptTitle="DIGITE UM ID" prompt="Entre 2000 a 2025" sqref="B10:B18" xr:uid="{DA453FC2-68DA-4375-87E8-62B8DE305E17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10" workbookViewId="0">
      <selection activeCell="H18" sqref="H18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185" t="s">
        <v>108</v>
      </c>
      <c r="C8" s="186"/>
      <c r="D8" s="187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09" t="s">
        <v>130</v>
      </c>
      <c r="C16" s="27">
        <f>SUBTOTAL(9,C11:C15)</f>
        <v>101857</v>
      </c>
      <c r="D16" s="18"/>
      <c r="G16" s="14"/>
    </row>
    <row r="17" spans="2:4" outlineLevel="2" x14ac:dyDescent="0.25">
      <c r="B17" s="19" t="s">
        <v>23</v>
      </c>
      <c r="C17" s="28">
        <v>9852</v>
      </c>
      <c r="D17" s="20">
        <v>12544</v>
      </c>
    </row>
    <row r="18" spans="2:4" outlineLevel="2" x14ac:dyDescent="0.25">
      <c r="B18" s="19" t="s">
        <v>23</v>
      </c>
      <c r="C18" s="28">
        <v>11125</v>
      </c>
      <c r="D18" s="20">
        <v>25413</v>
      </c>
    </row>
    <row r="19" spans="2:4" outlineLevel="2" x14ac:dyDescent="0.25">
      <c r="B19" s="19" t="s">
        <v>23</v>
      </c>
      <c r="C19" s="27">
        <v>32556</v>
      </c>
      <c r="D19" s="18">
        <v>44474</v>
      </c>
    </row>
    <row r="20" spans="2:4" outlineLevel="2" x14ac:dyDescent="0.25">
      <c r="B20" s="19" t="s">
        <v>23</v>
      </c>
      <c r="C20" s="27">
        <v>45201</v>
      </c>
      <c r="D20" s="18">
        <v>142122</v>
      </c>
    </row>
    <row r="21" spans="2:4" outlineLevel="2" x14ac:dyDescent="0.25">
      <c r="B21" s="19" t="s">
        <v>23</v>
      </c>
      <c r="C21" s="27">
        <v>36982</v>
      </c>
      <c r="D21" s="18">
        <v>112253</v>
      </c>
    </row>
    <row r="22" spans="2:4" outlineLevel="2" x14ac:dyDescent="0.25">
      <c r="B22" s="19" t="s">
        <v>23</v>
      </c>
      <c r="C22" s="27">
        <v>41145</v>
      </c>
      <c r="D22" s="18">
        <v>121217</v>
      </c>
    </row>
    <row r="23" spans="2:4" outlineLevel="2" x14ac:dyDescent="0.25">
      <c r="B23" s="19" t="s">
        <v>23</v>
      </c>
      <c r="C23" s="27">
        <v>56632</v>
      </c>
      <c r="D23" s="18">
        <v>655554</v>
      </c>
    </row>
    <row r="24" spans="2:4" outlineLevel="2" x14ac:dyDescent="0.25">
      <c r="B24" s="19" t="s">
        <v>23</v>
      </c>
      <c r="C24" s="27">
        <v>41212</v>
      </c>
      <c r="D24" s="18">
        <v>561221</v>
      </c>
    </row>
    <row r="25" spans="2:4" outlineLevel="1" x14ac:dyDescent="0.25">
      <c r="B25" s="110" t="s">
        <v>131</v>
      </c>
      <c r="C25" s="27">
        <f>SUBTOTAL(9,C17:C24)</f>
        <v>274705</v>
      </c>
      <c r="D25" s="18"/>
    </row>
    <row r="26" spans="2:4" outlineLevel="2" x14ac:dyDescent="0.25">
      <c r="B26" s="21" t="s">
        <v>24</v>
      </c>
      <c r="C26" s="27">
        <v>19857</v>
      </c>
      <c r="D26" s="18">
        <v>121112</v>
      </c>
    </row>
    <row r="27" spans="2:4" outlineLevel="2" x14ac:dyDescent="0.25">
      <c r="B27" s="21" t="s">
        <v>24</v>
      </c>
      <c r="C27" s="27">
        <v>11741</v>
      </c>
      <c r="D27" s="18">
        <v>554112</v>
      </c>
    </row>
    <row r="28" spans="2:4" outlineLevel="2" x14ac:dyDescent="0.25">
      <c r="B28" s="21" t="s">
        <v>24</v>
      </c>
      <c r="C28" s="27">
        <v>22123</v>
      </c>
      <c r="D28" s="18">
        <v>185477</v>
      </c>
    </row>
    <row r="29" spans="2:4" outlineLevel="2" x14ac:dyDescent="0.25">
      <c r="B29" s="21" t="s">
        <v>24</v>
      </c>
      <c r="C29" s="27">
        <v>12365</v>
      </c>
      <c r="D29" s="18">
        <v>211456</v>
      </c>
    </row>
    <row r="30" spans="2:4" outlineLevel="2" x14ac:dyDescent="0.25">
      <c r="B30" s="21" t="s">
        <v>24</v>
      </c>
      <c r="C30" s="27">
        <v>6442</v>
      </c>
      <c r="D30" s="18">
        <v>121221</v>
      </c>
    </row>
    <row r="31" spans="2:4" outlineLevel="2" x14ac:dyDescent="0.25">
      <c r="B31" s="21" t="s">
        <v>24</v>
      </c>
      <c r="C31" s="27">
        <v>36985</v>
      </c>
      <c r="D31" s="18">
        <v>653222</v>
      </c>
    </row>
    <row r="32" spans="2:4" outlineLevel="1" x14ac:dyDescent="0.25">
      <c r="B32" s="111" t="s">
        <v>132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11" t="s">
        <v>133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11" t="s">
        <v>134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11" t="s">
        <v>135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11" t="s">
        <v>136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11" t="s">
        <v>137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11" t="s">
        <v>138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11" t="s">
        <v>139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11" t="s">
        <v>140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11" t="s">
        <v>141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11" t="s">
        <v>142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11" t="s">
        <v>143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11" t="s">
        <v>144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11" t="s">
        <v>145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14" t="s">
        <v>146</v>
      </c>
      <c r="C142" s="112">
        <f>SUBTOTAL(9,C135:C141)</f>
        <v>394456</v>
      </c>
      <c r="D142" s="113"/>
    </row>
    <row r="143" spans="2:4" x14ac:dyDescent="0.25">
      <c r="B143" s="114" t="s">
        <v>147</v>
      </c>
      <c r="C143" s="112">
        <f>SUBTOTAL(9,C11:C141)</f>
        <v>4115174.3</v>
      </c>
      <c r="D143" s="113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7" workbookViewId="0">
      <selection activeCell="M10" sqref="M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185" t="s">
        <v>109</v>
      </c>
      <c r="C8" s="186"/>
      <c r="D8" s="186"/>
      <c r="F8" s="185" t="s">
        <v>40</v>
      </c>
      <c r="G8" s="187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 t="s">
        <v>22</v>
      </c>
      <c r="G11" s="30">
        <v>20371.400000000001</v>
      </c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 t="s">
        <v>23</v>
      </c>
      <c r="G12" s="31">
        <v>34338.125</v>
      </c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 t="s">
        <v>24</v>
      </c>
      <c r="G13" s="31">
        <v>18252.166666666668</v>
      </c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 t="s">
        <v>25</v>
      </c>
      <c r="G14" s="31">
        <v>32073.883333333331</v>
      </c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 t="s">
        <v>26</v>
      </c>
      <c r="G15" s="31">
        <v>32414.75</v>
      </c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 t="s">
        <v>27</v>
      </c>
      <c r="G16" s="32">
        <v>17594.571428571428</v>
      </c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 t="s">
        <v>28</v>
      </c>
      <c r="G17" s="32">
        <v>55469</v>
      </c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 t="s">
        <v>29</v>
      </c>
      <c r="G18" s="31">
        <v>52629.666666666664</v>
      </c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 t="s">
        <v>30</v>
      </c>
      <c r="G19" s="31">
        <v>18698.444444444445</v>
      </c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 t="s">
        <v>31</v>
      </c>
      <c r="G20" s="31">
        <v>17744.333333333332</v>
      </c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 t="s">
        <v>32</v>
      </c>
      <c r="G21" s="31">
        <v>33376.857142857145</v>
      </c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 t="s">
        <v>33</v>
      </c>
      <c r="G22" s="31">
        <v>64575.25</v>
      </c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 t="s">
        <v>34</v>
      </c>
      <c r="G23" s="31">
        <v>8667.75</v>
      </c>
    </row>
    <row r="24" spans="2:8" x14ac:dyDescent="0.25">
      <c r="B24" s="21" t="s">
        <v>24</v>
      </c>
      <c r="C24" s="27">
        <v>19857</v>
      </c>
      <c r="D24" s="18">
        <v>121112</v>
      </c>
      <c r="F24" s="36" t="s">
        <v>39</v>
      </c>
      <c r="G24" s="33">
        <v>46798.5</v>
      </c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 t="s">
        <v>35</v>
      </c>
      <c r="G25" s="33">
        <v>32487.333333333332</v>
      </c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 t="s">
        <v>36</v>
      </c>
      <c r="G26" s="33">
        <v>46666.25</v>
      </c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 t="s">
        <v>37</v>
      </c>
      <c r="G27" s="34">
        <v>56350.857142857145</v>
      </c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93D8-5B59-46AA-A7AF-74FF019713DF}">
  <dimension ref="A1:D19"/>
  <sheetViews>
    <sheetView workbookViewId="0">
      <selection activeCell="H26" sqref="H26"/>
    </sheetView>
  </sheetViews>
  <sheetFormatPr defaultRowHeight="15" x14ac:dyDescent="0.25"/>
  <cols>
    <col min="1" max="1" width="29.85546875" bestFit="1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15" t="s">
        <v>102</v>
      </c>
      <c r="B1" t="s">
        <v>148</v>
      </c>
    </row>
    <row r="3" spans="1:4" x14ac:dyDescent="0.25">
      <c r="B3" s="115" t="s">
        <v>21</v>
      </c>
    </row>
    <row r="4" spans="1:4" x14ac:dyDescent="0.25">
      <c r="A4" s="115" t="s">
        <v>101</v>
      </c>
      <c r="B4" t="s">
        <v>149</v>
      </c>
      <c r="C4" t="s">
        <v>150</v>
      </c>
      <c r="D4" t="s">
        <v>151</v>
      </c>
    </row>
    <row r="5" spans="1:4" x14ac:dyDescent="0.25">
      <c r="A5" t="s">
        <v>47</v>
      </c>
      <c r="B5" s="116">
        <v>2456</v>
      </c>
      <c r="C5" s="116">
        <v>5</v>
      </c>
      <c r="D5" s="116">
        <v>667</v>
      </c>
    </row>
    <row r="6" spans="1:4" x14ac:dyDescent="0.25">
      <c r="A6" t="s">
        <v>60</v>
      </c>
      <c r="B6" s="116">
        <v>333</v>
      </c>
      <c r="C6" s="116">
        <v>223</v>
      </c>
      <c r="D6" s="116">
        <v>432</v>
      </c>
    </row>
    <row r="7" spans="1:4" x14ac:dyDescent="0.25">
      <c r="A7" t="s">
        <v>48</v>
      </c>
      <c r="B7" s="116">
        <v>322</v>
      </c>
      <c r="C7" s="116">
        <v>6</v>
      </c>
      <c r="D7" s="116">
        <v>4346</v>
      </c>
    </row>
    <row r="8" spans="1:4" x14ac:dyDescent="0.25">
      <c r="A8" t="s">
        <v>42</v>
      </c>
      <c r="B8" s="116">
        <v>3456</v>
      </c>
      <c r="C8" s="116">
        <v>121</v>
      </c>
      <c r="D8" s="116">
        <v>32</v>
      </c>
    </row>
    <row r="9" spans="1:4" x14ac:dyDescent="0.25">
      <c r="A9" t="s">
        <v>50</v>
      </c>
      <c r="B9" s="116">
        <v>456</v>
      </c>
      <c r="C9" s="116">
        <v>5534</v>
      </c>
      <c r="D9" s="116">
        <v>23432</v>
      </c>
    </row>
    <row r="10" spans="1:4" x14ac:dyDescent="0.25">
      <c r="A10" t="s">
        <v>61</v>
      </c>
      <c r="B10" s="116">
        <v>3235</v>
      </c>
      <c r="C10" s="116">
        <v>2</v>
      </c>
      <c r="D10" s="116">
        <v>32</v>
      </c>
    </row>
    <row r="11" spans="1:4" x14ac:dyDescent="0.25">
      <c r="A11" t="s">
        <v>44</v>
      </c>
      <c r="B11" s="116">
        <v>4332</v>
      </c>
      <c r="C11" s="116">
        <v>5</v>
      </c>
      <c r="D11" s="116">
        <v>453</v>
      </c>
    </row>
    <row r="12" spans="1:4" x14ac:dyDescent="0.25">
      <c r="A12" t="s">
        <v>43</v>
      </c>
      <c r="B12" s="116">
        <v>4656</v>
      </c>
      <c r="C12" s="116">
        <v>4</v>
      </c>
      <c r="D12" s="116">
        <v>1234</v>
      </c>
    </row>
    <row r="13" spans="1:4" x14ac:dyDescent="0.25">
      <c r="A13" t="s">
        <v>46</v>
      </c>
      <c r="B13" s="116">
        <v>234</v>
      </c>
      <c r="C13" s="116">
        <v>5</v>
      </c>
      <c r="D13" s="116">
        <v>543</v>
      </c>
    </row>
    <row r="14" spans="1:4" x14ac:dyDescent="0.25">
      <c r="A14" t="s">
        <v>45</v>
      </c>
      <c r="B14" s="116">
        <v>21</v>
      </c>
      <c r="C14" s="116">
        <v>54</v>
      </c>
      <c r="D14" s="116">
        <v>543</v>
      </c>
    </row>
    <row r="15" spans="1:4" x14ac:dyDescent="0.25">
      <c r="A15" t="s">
        <v>51</v>
      </c>
      <c r="B15" s="116">
        <v>1234</v>
      </c>
      <c r="C15" s="116">
        <v>5</v>
      </c>
      <c r="D15" s="116">
        <v>32</v>
      </c>
    </row>
    <row r="16" spans="1:4" x14ac:dyDescent="0.25">
      <c r="A16" t="s">
        <v>63</v>
      </c>
      <c r="B16" s="116">
        <v>455</v>
      </c>
      <c r="C16" s="116">
        <v>4</v>
      </c>
      <c r="D16" s="116">
        <v>24</v>
      </c>
    </row>
    <row r="17" spans="1:4" x14ac:dyDescent="0.25">
      <c r="A17" t="s">
        <v>52</v>
      </c>
      <c r="B17" s="116">
        <v>9876</v>
      </c>
      <c r="C17" s="116">
        <v>656</v>
      </c>
      <c r="D17" s="116">
        <v>32</v>
      </c>
    </row>
    <row r="18" spans="1:4" x14ac:dyDescent="0.25">
      <c r="A18" t="s">
        <v>64</v>
      </c>
      <c r="B18" s="116">
        <v>122</v>
      </c>
      <c r="C18" s="116">
        <v>78</v>
      </c>
      <c r="D18" s="116">
        <v>3322</v>
      </c>
    </row>
    <row r="19" spans="1:4" x14ac:dyDescent="0.25">
      <c r="A19" t="s">
        <v>147</v>
      </c>
      <c r="B19" s="116">
        <v>31188</v>
      </c>
      <c r="C19" s="116">
        <v>6702</v>
      </c>
      <c r="D19" s="116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workbookViewId="0">
      <selection activeCell="L27" sqref="L27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L30" sqref="L30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88" t="s">
        <v>71</v>
      </c>
      <c r="C9" s="189"/>
      <c r="D9" s="45"/>
      <c r="E9" s="188" t="s">
        <v>90</v>
      </c>
      <c r="F9" s="189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workbookViewId="0">
      <selection activeCell="B8" sqref="B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3" t="s">
        <v>123</v>
      </c>
      <c r="N8" s="103" t="s">
        <v>129</v>
      </c>
      <c r="O8" s="76" t="s">
        <v>122</v>
      </c>
      <c r="P8" s="103" t="s">
        <v>125</v>
      </c>
      <c r="Q8" s="103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4"/>
      <c r="N9" s="104"/>
      <c r="O9" s="107"/>
      <c r="P9" s="105"/>
      <c r="Q9" s="106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7"/>
      <c r="P10" s="105"/>
      <c r="Q10" s="106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7"/>
      <c r="P11" s="105"/>
      <c r="Q11" s="106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7"/>
      <c r="P12" s="105"/>
      <c r="Q12" s="106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7"/>
      <c r="P13" s="105"/>
      <c r="Q13" s="106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7"/>
      <c r="P14" s="105"/>
      <c r="Q14" s="106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7"/>
      <c r="P15" s="105"/>
      <c r="Q15" s="106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7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7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7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7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7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7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7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7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7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7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7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7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7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7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7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7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7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7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8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0" ma:contentTypeDescription="Crie um novo documento." ma:contentTypeScope="" ma:versionID="16b0b5c74e1e737951c86f60d44a31a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126AB6-A8E7-40F1-B983-04B5082748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777097D-E59B-4BAF-B554-EE4337B797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80B0CE6-FBCE-4683-B26A-45B25E58F1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VENDAS</vt:lpstr>
      <vt:lpstr>APURAÇÃO SUBTOTAIS</vt:lpstr>
      <vt:lpstr>CONSOLIDAÇÃO VALORES</vt:lpstr>
      <vt:lpstr>TABELA DINÂMICA</vt:lpstr>
      <vt:lpstr>TABELA ESTÁTICA</vt:lpstr>
      <vt:lpstr>DADOS GRÁFICO</vt:lpstr>
      <vt:lpstr>PEDIDOS</vt:lpstr>
      <vt:lpstr>GRÁFICO COMPARATIVO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Home</cp:lastModifiedBy>
  <dcterms:created xsi:type="dcterms:W3CDTF">2011-05-09T13:39:36Z</dcterms:created>
  <dcterms:modified xsi:type="dcterms:W3CDTF">2021-08-15T23:58:36Z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