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C:\Users\Home\Desktop\ADS\1 M\Programação em Microinformática\Projeto\Learning-VBA\INFOTECH\"/>
    </mc:Choice>
  </mc:AlternateContent>
  <xr:revisionPtr revIDLastSave="0" documentId="13_ncr:1_{772E0B29-F79B-40FD-B911-934D84EEB9BB}" xr6:coauthVersionLast="47" xr6:coauthVersionMax="47" xr10:uidLastSave="{00000000-0000-0000-0000-000000000000}"/>
  <bookViews>
    <workbookView xWindow="20370" yWindow="-120" windowWidth="21840" windowHeight="13140" tabRatio="1000" activeTab="4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Planilha1" sheetId="11" r:id="rId5"/>
    <sheet name="TABELA DINÂMICA" sheetId="10" r:id="rId6"/>
    <sheet name="DADOS GRÁFICO" sheetId="7" r:id="rId7"/>
    <sheet name="PEDIDOS" sheetId="6" r:id="rId8"/>
  </sheets>
  <calcPr calcId="191029"/>
  <pivotCaches>
    <pivotCache cacheId="3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2" i="3" l="1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9" i="2"/>
</calcChain>
</file>

<file path=xl/sharedStrings.xml><?xml version="1.0" encoding="utf-8"?>
<sst xmlns="http://schemas.openxmlformats.org/spreadsheetml/2006/main" count="473" uniqueCount="152">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</sst>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0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me" refreshedDate="44407.700339236108" createdVersion="7" refreshedVersion="7" minRefreshableVersion="3" recordCount="14" xr:uid="{F1E27897-7802-4246-9043-496B0B0A9930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57514B-605E-4C28-8B25-CE35C50BE825}" name="Tabela dinâmica1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zoomScaleNormal="100" workbookViewId="0">
      <selection activeCell="Q10" sqref="Q10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zoomScale="90" zoomScaleNormal="90" workbookViewId="0">
      <selection activeCell="B10" sqref="B10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4</v>
      </c>
    </row>
    <row r="2" spans="1:21" ht="19.5" thickBot="1" x14ac:dyDescent="0.3">
      <c r="B2" s="99" t="s">
        <v>3</v>
      </c>
      <c r="C2" s="98"/>
      <c r="D2" s="7"/>
      <c r="E2" s="170"/>
      <c r="F2" s="170"/>
      <c r="G2" s="170"/>
      <c r="H2" s="170"/>
      <c r="I2" s="170"/>
      <c r="J2" s="170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71" t="s">
        <v>2</v>
      </c>
      <c r="C4" s="172"/>
      <c r="D4" s="172"/>
      <c r="E4" s="172"/>
      <c r="F4" s="172"/>
      <c r="G4" s="172"/>
      <c r="H4" s="172"/>
      <c r="I4" s="172"/>
      <c r="J4" s="173"/>
    </row>
    <row r="5" spans="1:21" ht="15.95" customHeight="1" x14ac:dyDescent="0.25">
      <c r="B5" s="86" t="s">
        <v>0</v>
      </c>
      <c r="C5" s="174"/>
      <c r="D5" s="175"/>
      <c r="E5" s="175"/>
      <c r="F5" s="175"/>
      <c r="G5" s="175"/>
      <c r="H5" s="175"/>
      <c r="I5" s="175"/>
      <c r="J5" s="176"/>
    </row>
    <row r="6" spans="1:21" ht="15.95" customHeight="1" thickBot="1" x14ac:dyDescent="0.3">
      <c r="B6" s="87" t="s">
        <v>1</v>
      </c>
      <c r="C6" s="177"/>
      <c r="D6" s="178"/>
      <c r="E6" s="181" t="s">
        <v>91</v>
      </c>
      <c r="F6" s="182"/>
      <c r="G6" s="177"/>
      <c r="H6" s="179"/>
      <c r="I6" s="179"/>
      <c r="J6" s="180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33" t="s">
        <v>8</v>
      </c>
      <c r="C8" s="133"/>
      <c r="D8" s="133"/>
      <c r="E8" s="133"/>
      <c r="F8" s="133"/>
      <c r="G8" s="133"/>
      <c r="H8" s="133"/>
      <c r="I8" s="133"/>
      <c r="J8" s="133"/>
      <c r="L8" s="117" t="s">
        <v>12</v>
      </c>
      <c r="M8" s="118"/>
      <c r="N8" s="118"/>
      <c r="O8" s="118"/>
      <c r="P8" s="118"/>
      <c r="Q8" s="119"/>
    </row>
    <row r="9" spans="1:21" ht="15.95" customHeight="1" thickBot="1" x14ac:dyDescent="0.3">
      <c r="B9" s="94" t="s">
        <v>13</v>
      </c>
      <c r="C9" s="139" t="s">
        <v>14</v>
      </c>
      <c r="D9" s="139"/>
      <c r="E9" s="139"/>
      <c r="F9" s="94" t="s">
        <v>15</v>
      </c>
      <c r="G9" s="94" t="s">
        <v>16</v>
      </c>
      <c r="H9" s="94" t="s">
        <v>17</v>
      </c>
      <c r="I9" s="139" t="s">
        <v>18</v>
      </c>
      <c r="J9" s="139"/>
      <c r="L9" s="120"/>
      <c r="M9" s="121"/>
      <c r="N9" s="121"/>
      <c r="O9" s="121"/>
      <c r="P9" s="121"/>
      <c r="Q9" s="122"/>
    </row>
    <row r="10" spans="1:21" ht="15.95" customHeight="1" x14ac:dyDescent="0.25">
      <c r="B10" s="95"/>
      <c r="C10" s="141"/>
      <c r="D10" s="141"/>
      <c r="E10" s="141"/>
      <c r="F10" s="95"/>
      <c r="G10" s="96"/>
      <c r="H10" s="97"/>
      <c r="I10" s="140"/>
      <c r="J10" s="140"/>
      <c r="L10" s="134" t="s">
        <v>110</v>
      </c>
      <c r="M10" s="135"/>
      <c r="N10" s="135"/>
      <c r="O10" s="136"/>
      <c r="P10" s="137"/>
      <c r="Q10" s="138"/>
    </row>
    <row r="11" spans="1:21" ht="15.95" customHeight="1" x14ac:dyDescent="0.25">
      <c r="B11" s="95"/>
      <c r="C11" s="141"/>
      <c r="D11" s="141"/>
      <c r="E11" s="141"/>
      <c r="F11" s="95"/>
      <c r="G11" s="96"/>
      <c r="H11" s="97"/>
      <c r="I11" s="140"/>
      <c r="J11" s="140"/>
      <c r="L11" s="127" t="s">
        <v>111</v>
      </c>
      <c r="M11" s="128"/>
      <c r="N11" s="128"/>
      <c r="O11" s="129"/>
      <c r="P11" s="123"/>
      <c r="Q11" s="124"/>
    </row>
    <row r="12" spans="1:21" ht="15.95" customHeight="1" x14ac:dyDescent="0.25">
      <c r="B12" s="95"/>
      <c r="C12" s="141"/>
      <c r="D12" s="141"/>
      <c r="E12" s="141"/>
      <c r="F12" s="95"/>
      <c r="G12" s="96"/>
      <c r="H12" s="97"/>
      <c r="I12" s="140"/>
      <c r="J12" s="140"/>
      <c r="L12" s="127" t="s">
        <v>19</v>
      </c>
      <c r="M12" s="128"/>
      <c r="N12" s="128"/>
      <c r="O12" s="129"/>
      <c r="P12" s="123"/>
      <c r="Q12" s="124"/>
    </row>
    <row r="13" spans="1:21" ht="15.95" customHeight="1" x14ac:dyDescent="0.25">
      <c r="B13" s="95"/>
      <c r="C13" s="141"/>
      <c r="D13" s="141"/>
      <c r="E13" s="141"/>
      <c r="F13" s="95"/>
      <c r="G13" s="96"/>
      <c r="H13" s="97"/>
      <c r="I13" s="140"/>
      <c r="J13" s="140"/>
      <c r="L13" s="127" t="s">
        <v>97</v>
      </c>
      <c r="M13" s="128"/>
      <c r="N13" s="128"/>
      <c r="O13" s="129"/>
      <c r="P13" s="123"/>
      <c r="Q13" s="124"/>
    </row>
    <row r="14" spans="1:21" ht="15.95" customHeight="1" x14ac:dyDescent="0.25">
      <c r="B14" s="95"/>
      <c r="C14" s="141"/>
      <c r="D14" s="141"/>
      <c r="E14" s="141"/>
      <c r="F14" s="95"/>
      <c r="G14" s="96"/>
      <c r="H14" s="97"/>
      <c r="I14" s="140"/>
      <c r="J14" s="140"/>
      <c r="L14" s="127" t="s">
        <v>98</v>
      </c>
      <c r="M14" s="128"/>
      <c r="N14" s="128"/>
      <c r="O14" s="129"/>
      <c r="P14" s="123"/>
      <c r="Q14" s="124"/>
    </row>
    <row r="15" spans="1:21" ht="15.95" customHeight="1" x14ac:dyDescent="0.25">
      <c r="B15" s="95"/>
      <c r="C15" s="141"/>
      <c r="D15" s="141"/>
      <c r="E15" s="141"/>
      <c r="F15" s="95"/>
      <c r="G15" s="96"/>
      <c r="H15" s="97"/>
      <c r="I15" s="140"/>
      <c r="J15" s="140"/>
      <c r="L15" s="127" t="s">
        <v>99</v>
      </c>
      <c r="M15" s="128"/>
      <c r="N15" s="128"/>
      <c r="O15" s="129"/>
      <c r="P15" s="123"/>
      <c r="Q15" s="124"/>
    </row>
    <row r="16" spans="1:21" ht="15.95" customHeight="1" x14ac:dyDescent="0.25">
      <c r="B16" s="95"/>
      <c r="C16" s="141"/>
      <c r="D16" s="141"/>
      <c r="E16" s="141"/>
      <c r="F16" s="95"/>
      <c r="G16" s="96"/>
      <c r="H16" s="97"/>
      <c r="I16" s="140"/>
      <c r="J16" s="140"/>
      <c r="L16" s="127" t="s">
        <v>9</v>
      </c>
      <c r="M16" s="128"/>
      <c r="N16" s="128"/>
      <c r="O16" s="129"/>
      <c r="P16" s="125"/>
      <c r="Q16" s="126"/>
    </row>
    <row r="17" spans="2:17" ht="15.95" customHeight="1" x14ac:dyDescent="0.25">
      <c r="B17" s="95"/>
      <c r="C17" s="141"/>
      <c r="D17" s="141"/>
      <c r="E17" s="141"/>
      <c r="F17" s="95"/>
      <c r="G17" s="96"/>
      <c r="H17" s="97"/>
      <c r="I17" s="140"/>
      <c r="J17" s="140"/>
      <c r="L17" s="127" t="s">
        <v>10</v>
      </c>
      <c r="M17" s="128"/>
      <c r="N17" s="128"/>
      <c r="O17" s="129"/>
      <c r="P17" s="125"/>
      <c r="Q17" s="126"/>
    </row>
    <row r="18" spans="2:17" ht="15.95" customHeight="1" thickBot="1" x14ac:dyDescent="0.3">
      <c r="B18" s="95"/>
      <c r="C18" s="141"/>
      <c r="D18" s="141"/>
      <c r="E18" s="141"/>
      <c r="F18" s="95"/>
      <c r="G18" s="96"/>
      <c r="H18" s="97"/>
      <c r="I18" s="140"/>
      <c r="J18" s="140"/>
      <c r="L18" s="130" t="s">
        <v>11</v>
      </c>
      <c r="M18" s="131"/>
      <c r="N18" s="131"/>
      <c r="O18" s="132"/>
      <c r="P18" s="115"/>
      <c r="Q18" s="116"/>
    </row>
    <row r="19" spans="2:17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7" ht="15.95" customHeight="1" thickBot="1" x14ac:dyDescent="0.3">
      <c r="B20" s="149"/>
      <c r="C20" s="150"/>
      <c r="D20" s="150"/>
      <c r="E20" s="8"/>
      <c r="F20" s="88" t="s">
        <v>5</v>
      </c>
      <c r="G20" s="89"/>
      <c r="H20" s="155"/>
      <c r="I20" s="156"/>
      <c r="J20" s="157"/>
      <c r="L20" s="160" t="s">
        <v>92</v>
      </c>
      <c r="M20" s="161"/>
      <c r="N20" s="161"/>
      <c r="O20" s="162"/>
    </row>
    <row r="21" spans="2:17" ht="15.95" customHeight="1" x14ac:dyDescent="0.25">
      <c r="B21" s="151"/>
      <c r="C21" s="152"/>
      <c r="D21" s="152"/>
      <c r="E21" s="9"/>
      <c r="F21" s="90" t="s">
        <v>4</v>
      </c>
      <c r="G21" s="91"/>
      <c r="H21" s="167"/>
      <c r="I21" s="168"/>
      <c r="J21" s="169"/>
      <c r="L21" s="57" t="s">
        <v>93</v>
      </c>
      <c r="M21" s="58"/>
      <c r="N21" s="165" t="s">
        <v>112</v>
      </c>
      <c r="O21" s="166"/>
    </row>
    <row r="22" spans="2:17" ht="15.95" customHeight="1" x14ac:dyDescent="0.25">
      <c r="B22" s="151"/>
      <c r="C22" s="152"/>
      <c r="D22" s="152"/>
      <c r="E22" s="9"/>
      <c r="F22" s="90" t="s">
        <v>6</v>
      </c>
      <c r="G22" s="91"/>
      <c r="H22" s="142"/>
      <c r="I22" s="140"/>
      <c r="J22" s="143"/>
      <c r="L22" s="59" t="s">
        <v>94</v>
      </c>
      <c r="M22" s="60"/>
      <c r="N22" s="144" t="s">
        <v>115</v>
      </c>
      <c r="O22" s="145"/>
    </row>
    <row r="23" spans="2:17" ht="15.95" customHeight="1" x14ac:dyDescent="0.25">
      <c r="B23" s="151"/>
      <c r="C23" s="152"/>
      <c r="D23" s="152"/>
      <c r="E23" s="9"/>
      <c r="F23" s="90" t="s">
        <v>114</v>
      </c>
      <c r="G23" s="91"/>
      <c r="H23" s="142"/>
      <c r="I23" s="140"/>
      <c r="J23" s="143"/>
      <c r="L23" s="59" t="s">
        <v>113</v>
      </c>
      <c r="M23" s="60"/>
      <c r="N23" s="144" t="s">
        <v>116</v>
      </c>
      <c r="O23" s="145"/>
    </row>
    <row r="24" spans="2:17" ht="15.95" customHeight="1" thickBot="1" x14ac:dyDescent="0.3">
      <c r="B24" s="153"/>
      <c r="C24" s="154"/>
      <c r="D24" s="154"/>
      <c r="E24" s="10"/>
      <c r="F24" s="92" t="s">
        <v>7</v>
      </c>
      <c r="G24" s="93"/>
      <c r="H24" s="146"/>
      <c r="I24" s="147"/>
      <c r="J24" s="148"/>
      <c r="L24" s="158" t="s">
        <v>95</v>
      </c>
      <c r="M24" s="159"/>
      <c r="N24" s="163" t="s">
        <v>96</v>
      </c>
      <c r="O24" s="164"/>
    </row>
  </sheetData>
  <mergeCells count="58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1">
    <dataValidation allowBlank="1" showErrorMessage="1" promptTitle="ATENÇÃO !!!" prompt="ID PRODUTO ENTRE 2000 E 2025." sqref="C10:J18" xr:uid="{00000000-0002-0000-0100-000000000000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10" workbookViewId="0">
      <selection activeCell="H18" sqref="H18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183" t="s">
        <v>108</v>
      </c>
      <c r="C8" s="184"/>
      <c r="D8" s="185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09" t="s">
        <v>130</v>
      </c>
      <c r="C16" s="27">
        <f>SUBTOTAL(9,C11:C15)</f>
        <v>101857</v>
      </c>
      <c r="D16" s="18"/>
      <c r="G16" s="14"/>
    </row>
    <row r="17" spans="2:4" outlineLevel="2" x14ac:dyDescent="0.25">
      <c r="B17" s="19" t="s">
        <v>23</v>
      </c>
      <c r="C17" s="28">
        <v>9852</v>
      </c>
      <c r="D17" s="20">
        <v>12544</v>
      </c>
    </row>
    <row r="18" spans="2:4" outlineLevel="2" x14ac:dyDescent="0.25">
      <c r="B18" s="19" t="s">
        <v>23</v>
      </c>
      <c r="C18" s="28">
        <v>11125</v>
      </c>
      <c r="D18" s="20">
        <v>25413</v>
      </c>
    </row>
    <row r="19" spans="2:4" outlineLevel="2" x14ac:dyDescent="0.25">
      <c r="B19" s="19" t="s">
        <v>23</v>
      </c>
      <c r="C19" s="27">
        <v>32556</v>
      </c>
      <c r="D19" s="18">
        <v>44474</v>
      </c>
    </row>
    <row r="20" spans="2:4" outlineLevel="2" x14ac:dyDescent="0.25">
      <c r="B20" s="19" t="s">
        <v>23</v>
      </c>
      <c r="C20" s="27">
        <v>45201</v>
      </c>
      <c r="D20" s="18">
        <v>142122</v>
      </c>
    </row>
    <row r="21" spans="2:4" outlineLevel="2" x14ac:dyDescent="0.25">
      <c r="B21" s="19" t="s">
        <v>23</v>
      </c>
      <c r="C21" s="27">
        <v>36982</v>
      </c>
      <c r="D21" s="18">
        <v>112253</v>
      </c>
    </row>
    <row r="22" spans="2:4" outlineLevel="2" x14ac:dyDescent="0.25">
      <c r="B22" s="19" t="s">
        <v>23</v>
      </c>
      <c r="C22" s="27">
        <v>41145</v>
      </c>
      <c r="D22" s="18">
        <v>121217</v>
      </c>
    </row>
    <row r="23" spans="2:4" outlineLevel="2" x14ac:dyDescent="0.25">
      <c r="B23" s="19" t="s">
        <v>23</v>
      </c>
      <c r="C23" s="27">
        <v>56632</v>
      </c>
      <c r="D23" s="18">
        <v>655554</v>
      </c>
    </row>
    <row r="24" spans="2:4" outlineLevel="2" x14ac:dyDescent="0.25">
      <c r="B24" s="19" t="s">
        <v>23</v>
      </c>
      <c r="C24" s="27">
        <v>41212</v>
      </c>
      <c r="D24" s="18">
        <v>561221</v>
      </c>
    </row>
    <row r="25" spans="2:4" outlineLevel="1" x14ac:dyDescent="0.25">
      <c r="B25" s="110" t="s">
        <v>131</v>
      </c>
      <c r="C25" s="27">
        <f>SUBTOTAL(9,C17:C24)</f>
        <v>274705</v>
      </c>
      <c r="D25" s="18"/>
    </row>
    <row r="26" spans="2:4" outlineLevel="2" x14ac:dyDescent="0.25">
      <c r="B26" s="21" t="s">
        <v>24</v>
      </c>
      <c r="C26" s="27">
        <v>19857</v>
      </c>
      <c r="D26" s="18">
        <v>121112</v>
      </c>
    </row>
    <row r="27" spans="2:4" outlineLevel="2" x14ac:dyDescent="0.25">
      <c r="B27" s="21" t="s">
        <v>24</v>
      </c>
      <c r="C27" s="27">
        <v>11741</v>
      </c>
      <c r="D27" s="18">
        <v>554112</v>
      </c>
    </row>
    <row r="28" spans="2:4" outlineLevel="2" x14ac:dyDescent="0.25">
      <c r="B28" s="21" t="s">
        <v>24</v>
      </c>
      <c r="C28" s="27">
        <v>22123</v>
      </c>
      <c r="D28" s="18">
        <v>185477</v>
      </c>
    </row>
    <row r="29" spans="2:4" outlineLevel="2" x14ac:dyDescent="0.25">
      <c r="B29" s="21" t="s">
        <v>24</v>
      </c>
      <c r="C29" s="27">
        <v>12365</v>
      </c>
      <c r="D29" s="18">
        <v>211456</v>
      </c>
    </row>
    <row r="30" spans="2:4" outlineLevel="2" x14ac:dyDescent="0.25">
      <c r="B30" s="21" t="s">
        <v>24</v>
      </c>
      <c r="C30" s="27">
        <v>6442</v>
      </c>
      <c r="D30" s="18">
        <v>121221</v>
      </c>
    </row>
    <row r="31" spans="2:4" outlineLevel="2" x14ac:dyDescent="0.25">
      <c r="B31" s="21" t="s">
        <v>24</v>
      </c>
      <c r="C31" s="27">
        <v>36985</v>
      </c>
      <c r="D31" s="18">
        <v>653222</v>
      </c>
    </row>
    <row r="32" spans="2:4" outlineLevel="1" x14ac:dyDescent="0.25">
      <c r="B32" s="111" t="s">
        <v>132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11" t="s">
        <v>133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11" t="s">
        <v>134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11" t="s">
        <v>135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11" t="s">
        <v>136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11" t="s">
        <v>137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11" t="s">
        <v>138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11" t="s">
        <v>139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11" t="s">
        <v>140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11" t="s">
        <v>141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11" t="s">
        <v>142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11" t="s">
        <v>143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11" t="s">
        <v>144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11" t="s">
        <v>145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14" t="s">
        <v>146</v>
      </c>
      <c r="C142" s="112">
        <f>SUBTOTAL(9,C135:C141)</f>
        <v>394456</v>
      </c>
      <c r="D142" s="113"/>
    </row>
    <row r="143" spans="2:4" x14ac:dyDescent="0.25">
      <c r="B143" s="114" t="s">
        <v>147</v>
      </c>
      <c r="C143" s="112">
        <f>SUBTOTAL(9,C11:C141)</f>
        <v>4115174.3</v>
      </c>
      <c r="D143" s="113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7" workbookViewId="0">
      <selection activeCell="M10" sqref="M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183" t="s">
        <v>109</v>
      </c>
      <c r="C8" s="184"/>
      <c r="D8" s="184"/>
      <c r="F8" s="183" t="s">
        <v>40</v>
      </c>
      <c r="G8" s="185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 t="s">
        <v>22</v>
      </c>
      <c r="G11" s="30">
        <v>20371.400000000001</v>
      </c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 t="s">
        <v>23</v>
      </c>
      <c r="G12" s="31">
        <v>34338.125</v>
      </c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 t="s">
        <v>24</v>
      </c>
      <c r="G13" s="31">
        <v>18252.166666666668</v>
      </c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 t="s">
        <v>25</v>
      </c>
      <c r="G14" s="31">
        <v>32073.883333333331</v>
      </c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 t="s">
        <v>26</v>
      </c>
      <c r="G15" s="31">
        <v>32414.75</v>
      </c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 t="s">
        <v>27</v>
      </c>
      <c r="G16" s="32">
        <v>17594.571428571428</v>
      </c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 t="s">
        <v>28</v>
      </c>
      <c r="G17" s="32">
        <v>55469</v>
      </c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 t="s">
        <v>29</v>
      </c>
      <c r="G18" s="31">
        <v>52629.666666666664</v>
      </c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 t="s">
        <v>30</v>
      </c>
      <c r="G19" s="31">
        <v>18698.444444444445</v>
      </c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 t="s">
        <v>31</v>
      </c>
      <c r="G20" s="31">
        <v>17744.333333333332</v>
      </c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 t="s">
        <v>32</v>
      </c>
      <c r="G21" s="31">
        <v>33376.857142857145</v>
      </c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 t="s">
        <v>33</v>
      </c>
      <c r="G22" s="31">
        <v>64575.25</v>
      </c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 t="s">
        <v>34</v>
      </c>
      <c r="G23" s="31">
        <v>8667.75</v>
      </c>
    </row>
    <row r="24" spans="2:8" x14ac:dyDescent="0.25">
      <c r="B24" s="21" t="s">
        <v>24</v>
      </c>
      <c r="C24" s="27">
        <v>19857</v>
      </c>
      <c r="D24" s="18">
        <v>121112</v>
      </c>
      <c r="F24" s="36" t="s">
        <v>39</v>
      </c>
      <c r="G24" s="33">
        <v>46798.5</v>
      </c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 t="s">
        <v>35</v>
      </c>
      <c r="G25" s="33">
        <v>32487.333333333332</v>
      </c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 t="s">
        <v>36</v>
      </c>
      <c r="G26" s="33">
        <v>46666.25</v>
      </c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 t="s">
        <v>37</v>
      </c>
      <c r="G27" s="34">
        <v>56350.857142857145</v>
      </c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93D8-5B59-46AA-A7AF-74FF019713DF}">
  <dimension ref="A1:D19"/>
  <sheetViews>
    <sheetView tabSelected="1" workbookViewId="0">
      <selection activeCell="F12" sqref="F12"/>
    </sheetView>
  </sheetViews>
  <sheetFormatPr defaultRowHeight="15" x14ac:dyDescent="0.25"/>
  <cols>
    <col min="1" max="1" width="29.85546875" bestFit="1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88" t="s">
        <v>102</v>
      </c>
      <c r="B1" t="s">
        <v>148</v>
      </c>
    </row>
    <row r="3" spans="1:4" x14ac:dyDescent="0.25">
      <c r="B3" s="188" t="s">
        <v>21</v>
      </c>
    </row>
    <row r="4" spans="1:4" x14ac:dyDescent="0.25">
      <c r="A4" s="188" t="s">
        <v>101</v>
      </c>
      <c r="B4" t="s">
        <v>149</v>
      </c>
      <c r="C4" t="s">
        <v>150</v>
      </c>
      <c r="D4" t="s">
        <v>151</v>
      </c>
    </row>
    <row r="5" spans="1:4" x14ac:dyDescent="0.25">
      <c r="A5" t="s">
        <v>47</v>
      </c>
      <c r="B5" s="189">
        <v>2456</v>
      </c>
      <c r="C5" s="189">
        <v>5</v>
      </c>
      <c r="D5" s="189">
        <v>667</v>
      </c>
    </row>
    <row r="6" spans="1:4" x14ac:dyDescent="0.25">
      <c r="A6" t="s">
        <v>60</v>
      </c>
      <c r="B6" s="189">
        <v>333</v>
      </c>
      <c r="C6" s="189">
        <v>223</v>
      </c>
      <c r="D6" s="189">
        <v>432</v>
      </c>
    </row>
    <row r="7" spans="1:4" x14ac:dyDescent="0.25">
      <c r="A7" t="s">
        <v>48</v>
      </c>
      <c r="B7" s="189">
        <v>322</v>
      </c>
      <c r="C7" s="189">
        <v>6</v>
      </c>
      <c r="D7" s="189">
        <v>4346</v>
      </c>
    </row>
    <row r="8" spans="1:4" x14ac:dyDescent="0.25">
      <c r="A8" t="s">
        <v>42</v>
      </c>
      <c r="B8" s="189">
        <v>3456</v>
      </c>
      <c r="C8" s="189">
        <v>121</v>
      </c>
      <c r="D8" s="189">
        <v>32</v>
      </c>
    </row>
    <row r="9" spans="1:4" x14ac:dyDescent="0.25">
      <c r="A9" t="s">
        <v>50</v>
      </c>
      <c r="B9" s="189">
        <v>456</v>
      </c>
      <c r="C9" s="189">
        <v>5534</v>
      </c>
      <c r="D9" s="189">
        <v>23432</v>
      </c>
    </row>
    <row r="10" spans="1:4" x14ac:dyDescent="0.25">
      <c r="A10" t="s">
        <v>61</v>
      </c>
      <c r="B10" s="189">
        <v>3235</v>
      </c>
      <c r="C10" s="189">
        <v>2</v>
      </c>
      <c r="D10" s="189">
        <v>32</v>
      </c>
    </row>
    <row r="11" spans="1:4" x14ac:dyDescent="0.25">
      <c r="A11" t="s">
        <v>44</v>
      </c>
      <c r="B11" s="189">
        <v>4332</v>
      </c>
      <c r="C11" s="189">
        <v>5</v>
      </c>
      <c r="D11" s="189">
        <v>453</v>
      </c>
    </row>
    <row r="12" spans="1:4" x14ac:dyDescent="0.25">
      <c r="A12" t="s">
        <v>43</v>
      </c>
      <c r="B12" s="189">
        <v>4656</v>
      </c>
      <c r="C12" s="189">
        <v>4</v>
      </c>
      <c r="D12" s="189">
        <v>1234</v>
      </c>
    </row>
    <row r="13" spans="1:4" x14ac:dyDescent="0.25">
      <c r="A13" t="s">
        <v>46</v>
      </c>
      <c r="B13" s="189">
        <v>234</v>
      </c>
      <c r="C13" s="189">
        <v>5</v>
      </c>
      <c r="D13" s="189">
        <v>543</v>
      </c>
    </row>
    <row r="14" spans="1:4" x14ac:dyDescent="0.25">
      <c r="A14" t="s">
        <v>45</v>
      </c>
      <c r="B14" s="189">
        <v>21</v>
      </c>
      <c r="C14" s="189">
        <v>54</v>
      </c>
      <c r="D14" s="189">
        <v>543</v>
      </c>
    </row>
    <row r="15" spans="1:4" x14ac:dyDescent="0.25">
      <c r="A15" t="s">
        <v>51</v>
      </c>
      <c r="B15" s="189">
        <v>1234</v>
      </c>
      <c r="C15" s="189">
        <v>5</v>
      </c>
      <c r="D15" s="189">
        <v>32</v>
      </c>
    </row>
    <row r="16" spans="1:4" x14ac:dyDescent="0.25">
      <c r="A16" t="s">
        <v>63</v>
      </c>
      <c r="B16" s="189">
        <v>455</v>
      </c>
      <c r="C16" s="189">
        <v>4</v>
      </c>
      <c r="D16" s="189">
        <v>24</v>
      </c>
    </row>
    <row r="17" spans="1:4" x14ac:dyDescent="0.25">
      <c r="A17" t="s">
        <v>52</v>
      </c>
      <c r="B17" s="189">
        <v>9876</v>
      </c>
      <c r="C17" s="189">
        <v>656</v>
      </c>
      <c r="D17" s="189">
        <v>32</v>
      </c>
    </row>
    <row r="18" spans="1:4" x14ac:dyDescent="0.25">
      <c r="A18" t="s">
        <v>64</v>
      </c>
      <c r="B18" s="189">
        <v>122</v>
      </c>
      <c r="C18" s="189">
        <v>78</v>
      </c>
      <c r="D18" s="189">
        <v>3322</v>
      </c>
    </row>
    <row r="19" spans="1:4" x14ac:dyDescent="0.25">
      <c r="A19" t="s">
        <v>147</v>
      </c>
      <c r="B19" s="189">
        <v>31188</v>
      </c>
      <c r="C19" s="189">
        <v>6702</v>
      </c>
      <c r="D19" s="189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workbookViewId="0">
      <selection activeCell="B9" sqref="B9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O12" sqref="O12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86" t="s">
        <v>71</v>
      </c>
      <c r="C9" s="187"/>
      <c r="D9" s="45"/>
      <c r="E9" s="186" t="s">
        <v>90</v>
      </c>
      <c r="F9" s="187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workbookViewId="0">
      <selection activeCell="B8" sqref="B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3" t="s">
        <v>123</v>
      </c>
      <c r="N8" s="103" t="s">
        <v>129</v>
      </c>
      <c r="O8" s="76" t="s">
        <v>122</v>
      </c>
      <c r="P8" s="103" t="s">
        <v>125</v>
      </c>
      <c r="Q8" s="103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4"/>
      <c r="N9" s="104"/>
      <c r="O9" s="107"/>
      <c r="P9" s="105"/>
      <c r="Q9" s="106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7"/>
      <c r="P10" s="105"/>
      <c r="Q10" s="106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7"/>
      <c r="P11" s="105"/>
      <c r="Q11" s="106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7"/>
      <c r="P12" s="105"/>
      <c r="Q12" s="106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7"/>
      <c r="P13" s="105"/>
      <c r="Q13" s="106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7"/>
      <c r="P14" s="105"/>
      <c r="Q14" s="106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7"/>
      <c r="P15" s="105"/>
      <c r="Q15" s="106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7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7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7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7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7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7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7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7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7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7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7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7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7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7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7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7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7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7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8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0" ma:contentTypeDescription="Crie um novo documento." ma:contentTypeScope="" ma:versionID="16b0b5c74e1e737951c86f60d44a31a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777097D-E59B-4BAF-B554-EE4337B797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80B0CE6-FBCE-4683-B26A-45B25E58F1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126AB6-A8E7-40F1-B983-04B5082748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HOME</vt:lpstr>
      <vt:lpstr>VENDAS</vt:lpstr>
      <vt:lpstr>APURAÇÃO SUBTOTAIS</vt:lpstr>
      <vt:lpstr>CONSOLIDAÇÃO VALORES</vt:lpstr>
      <vt:lpstr>Planilha1</vt:lpstr>
      <vt:lpstr>TABELA DINÂMICA</vt:lpstr>
      <vt:lpstr>DADOS GRÁFICO</vt:lpstr>
      <vt:lpstr>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Home</cp:lastModifiedBy>
  <dcterms:created xsi:type="dcterms:W3CDTF">2011-05-09T13:39:36Z</dcterms:created>
  <dcterms:modified xsi:type="dcterms:W3CDTF">2021-07-30T19:49:16Z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