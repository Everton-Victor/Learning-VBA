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carregar_excel" defaultThemeVersion="124226"/>
  <mc:AlternateContent xmlns:mc="http://schemas.openxmlformats.org/markup-compatibility/2006">
    <mc:Choice Requires="x15">
      <x15ac:absPath xmlns:x15ac="http://schemas.microsoft.com/office/spreadsheetml/2010/11/ac" url="C:\Users\Home\Desktop\ADS\1 M\Programação em Microinformática\Projeto\Learning-VBA\INFOTECH\"/>
    </mc:Choice>
  </mc:AlternateContent>
  <xr:revisionPtr revIDLastSave="0" documentId="13_ncr:1_{8DC1AC37-C591-4E0E-8051-7BEC38D813F2}" xr6:coauthVersionLast="47" xr6:coauthVersionMax="47" xr10:uidLastSave="{00000000-0000-0000-0000-000000000000}"/>
  <bookViews>
    <workbookView xWindow="20370" yWindow="-120" windowWidth="21840" windowHeight="13140" tabRatio="1000" activeTab="2" xr2:uid="{00000000-000D-0000-FFFF-FFFF00000000}"/>
  </bookViews>
  <sheets>
    <sheet name="HOME" sheetId="1" r:id="rId1"/>
    <sheet name="VENDAS" sheetId="2" r:id="rId2"/>
    <sheet name="APURAÇÃO SUBTOTAIS" sheetId="3" r:id="rId3"/>
    <sheet name="CONSOLIDAÇÃO VALORES" sheetId="8" r:id="rId4"/>
    <sheet name="TABELA DINÂMICA" sheetId="10" r:id="rId5"/>
    <sheet name="DADOS GRÁFICO" sheetId="7" r:id="rId6"/>
    <sheet name="PEDIDOS" sheetId="6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2" i="3" l="1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C143" i="3" s="1"/>
  <c r="H19" i="2"/>
</calcChain>
</file>

<file path=xl/sharedStrings.xml><?xml version="1.0" encoding="utf-8"?>
<sst xmlns="http://schemas.openxmlformats.org/spreadsheetml/2006/main" count="434" uniqueCount="148">
  <si>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</si>
  <si>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</si>
  <si>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</si>
  <si>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</si>
  <si>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</si>
  <si>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</si>
  <si>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</si>
  <si>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</si>
  <si>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</si>
  <si>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</si>
  <si>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</si>
  <si>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</si>
  <si>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</si>
  <si>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</si>
  <si>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</si>
  <si>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</si>
  <si>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</si>
  <si>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</si>
  <si>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</si>
  <si>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</si>
  <si>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</si>
  <si>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</si>
  <si>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</si>
  <si>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</si>
  <si>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</si>
  <si>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</si>
  <si>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</si>
  <si>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</si>
  <si>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</si>
  <si>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</si>
  <si>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</si>
  <si>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</si>
  <si>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</si>
  <si>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</si>
  <si>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</si>
  <si>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</si>
  <si>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</si>
  <si>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</si>
  <si>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</si>
  <si>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</si>
  <si>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</si>
  <si>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</si>
  <si>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</si>
  <si>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</si>
  <si>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</si>
  <si>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</si>
  <si>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</si>
  <si>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</si>
  <si>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</si>
  <si>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</si>
  <si>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</si>
  <si>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</si>
  <si>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</si>
  <si>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</si>
  <si>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</si>
  <si>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</si>
  <si>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</si>
  <si>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</si>
  <si>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</si>
  <si>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</si>
  <si>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</si>
  <si>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</si>
  <si>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</si>
  <si>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</si>
  <si>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</si>
  <si>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</si>
  <si>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</si>
  <si>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</si>
  <si>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</si>
  <si>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</si>
  <si>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</si>
  <si>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</si>
  <si>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</si>
  <si>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</si>
  <si>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</si>
  <si>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</si>
  <si>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</si>
  <si>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</si>
  <si>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</si>
  <si>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</si>
  <si>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</si>
  <si>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</si>
  <si>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</si>
  <si>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</si>
  <si>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</si>
  <si>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</si>
  <si>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</si>
  <si>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</si>
  <si>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</si>
  <si>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</si>
  <si>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</si>
  <si>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</si>
  <si>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</si>
  <si>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</si>
  <si>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</si>
  <si>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</si>
  <si>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</si>
  <si>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</si>
  <si>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</si>
  <si>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</si>
  <si>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</si>
  <si>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</si>
  <si>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</si>
  <si>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</si>
  <si>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</si>
  <si>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</si>
  <si>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</si>
  <si>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</si>
  <si>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</si>
  <si>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</si>
  <si>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</si>
  <si>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</si>
  <si>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</si>
  <si>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</si>
  <si>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</si>
  <si>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</si>
  <si>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</si>
  <si>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</si>
  <si>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</si>
  <si>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</si>
  <si>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</si>
  <si>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</si>
  <si>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</si>
  <si>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</si>
  <si>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</si>
  <si>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</si>
  <si>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</si>
  <si>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</si>
  <si>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</si>
  <si>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VALOR UNITÁRIO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</si>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</sst>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  <numFmt numFmtId="171" formatCode="_-[$R$-416]\ * #,##0.00_-;\-[$R$-416]\ * #,##0.00_-;_-[$R$-416]\ * &quot;-&quot;??_-;_-@_-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b/>
      <i/>
      <sz val="10"/>
      <color theme="2" tint="-0.89996032593768116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</cellStyleXfs>
  <cellXfs count="188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165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2" applyFont="1" applyBorder="1"/>
    <xf numFmtId="0" fontId="0" fillId="0" borderId="19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/>
    <xf numFmtId="165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165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71" fontId="0" fillId="0" borderId="24" xfId="2" applyNumberFormat="1" applyFont="1" applyBorder="1" applyAlignment="1">
      <alignment horizontal="center"/>
    </xf>
    <xf numFmtId="171" fontId="0" fillId="0" borderId="39" xfId="2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165" fontId="23" fillId="0" borderId="19" xfId="2" applyFont="1" applyBorder="1" applyAlignment="1">
      <alignment horizontal="center"/>
    </xf>
    <xf numFmtId="0" fontId="25" fillId="0" borderId="19" xfId="0" applyFont="1" applyBorder="1" applyAlignment="1">
      <alignment horizontal="left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5" fillId="0" borderId="33" xfId="0" applyFont="1" applyBorder="1" applyAlignment="1"/>
    <xf numFmtId="0" fontId="0" fillId="0" borderId="49" xfId="0" applyBorder="1" applyAlignment="1"/>
    <xf numFmtId="0" fontId="0" fillId="0" borderId="34" xfId="0" applyBorder="1" applyAlignment="1"/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165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</cellXfs>
  <cellStyles count="4"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0"/>
  <tableStyles count="0" defaultTableStyle="TableStyleMedium9" defaultPivotStyle="PivotStyleLight16"/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162175"/>
          <a:ext cx="3800475" cy="24574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hamar_pedidos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chamar_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 macro="[0]!sair_excel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zoomScaleNormal="100" workbookViewId="0">
      <selection activeCell="Q10" sqref="Q10"/>
    </sheetView>
  </sheetViews>
  <sheetFormatPr defaultRowHeight="15" x14ac:dyDescent="0.25"/>
  <sheetData>
    <row r="1" spans="26:26" x14ac:dyDescent="0.25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24"/>
  <sheetViews>
    <sheetView showGridLines="0" zoomScale="90" zoomScaleNormal="90" workbookViewId="0">
      <selection activeCell="B10" sqref="B10"/>
    </sheetView>
  </sheetViews>
  <sheetFormatPr defaultRowHeight="15" x14ac:dyDescent="0.25"/>
  <cols>
    <col min="1" max="1" width="2.85546875" customWidth="1"/>
    <col min="2" max="2" width="18" customWidth="1"/>
    <col min="3" max="3" width="14.7109375" customWidth="1"/>
    <col min="4" max="4" width="10.85546875" customWidth="1"/>
    <col min="5" max="5" width="9.140625" customWidth="1"/>
    <col min="6" max="6" width="11.85546875" customWidth="1"/>
    <col min="7" max="7" width="11.42578125" customWidth="1"/>
    <col min="8" max="8" width="13.42578125" customWidth="1"/>
    <col min="9" max="9" width="9.42578125" customWidth="1"/>
    <col min="10" max="10" width="5.42578125" customWidth="1"/>
    <col min="11" max="11" width="3.7109375" customWidth="1"/>
    <col min="15" max="15" width="5.140625" customWidth="1"/>
    <col min="17" max="17" width="6.42578125" customWidth="1"/>
  </cols>
  <sheetData>
    <row r="1" spans="1:21" ht="15.75" thickBot="1" x14ac:dyDescent="0.3">
      <c r="A1">
        <v>4</v>
      </c>
    </row>
    <row r="2" spans="1:21" ht="19.5" thickBot="1" x14ac:dyDescent="0.3">
      <c r="B2" s="99" t="s">
        <v>3</v>
      </c>
      <c r="C2" s="98"/>
      <c r="D2" s="7"/>
      <c r="E2" s="164"/>
      <c r="F2" s="164"/>
      <c r="G2" s="164"/>
      <c r="H2" s="164"/>
      <c r="I2" s="164"/>
      <c r="J2" s="164"/>
    </row>
    <row r="3" spans="1:21" ht="8.25" customHeight="1" thickBot="1" x14ac:dyDescent="0.3">
      <c r="B3" s="1"/>
      <c r="C3" s="1"/>
      <c r="D3" s="2"/>
      <c r="E3" s="3"/>
      <c r="F3" s="3"/>
      <c r="G3" s="3"/>
      <c r="H3" s="3"/>
      <c r="I3" s="3"/>
      <c r="J3" s="3"/>
    </row>
    <row r="4" spans="1:21" ht="16.5" thickBot="1" x14ac:dyDescent="0.3">
      <c r="B4" s="165" t="s">
        <v>2</v>
      </c>
      <c r="C4" s="166"/>
      <c r="D4" s="166"/>
      <c r="E4" s="166"/>
      <c r="F4" s="166"/>
      <c r="G4" s="166"/>
      <c r="H4" s="166"/>
      <c r="I4" s="166"/>
      <c r="J4" s="167"/>
    </row>
    <row r="5" spans="1:21" ht="15.95" customHeight="1" x14ac:dyDescent="0.25">
      <c r="B5" s="86" t="s">
        <v>0</v>
      </c>
      <c r="C5" s="168"/>
      <c r="D5" s="169"/>
      <c r="E5" s="169"/>
      <c r="F5" s="169"/>
      <c r="G5" s="169"/>
      <c r="H5" s="169"/>
      <c r="I5" s="169"/>
      <c r="J5" s="170"/>
    </row>
    <row r="6" spans="1:21" ht="15.95" customHeight="1" thickBot="1" x14ac:dyDescent="0.3">
      <c r="B6" s="87" t="s">
        <v>1</v>
      </c>
      <c r="C6" s="171"/>
      <c r="D6" s="172"/>
      <c r="E6" s="175" t="s">
        <v>91</v>
      </c>
      <c r="F6" s="176"/>
      <c r="G6" s="171"/>
      <c r="H6" s="173"/>
      <c r="I6" s="173"/>
      <c r="J6" s="174"/>
      <c r="U6" s="85"/>
    </row>
    <row r="7" spans="1:21" ht="10.5" customHeight="1" thickBot="1" x14ac:dyDescent="0.3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25">
      <c r="B8" s="127" t="s">
        <v>8</v>
      </c>
      <c r="C8" s="127"/>
      <c r="D8" s="127"/>
      <c r="E8" s="127"/>
      <c r="F8" s="127"/>
      <c r="G8" s="127"/>
      <c r="H8" s="127"/>
      <c r="I8" s="127"/>
      <c r="J8" s="127"/>
      <c r="L8" s="111" t="s">
        <v>12</v>
      </c>
      <c r="M8" s="112"/>
      <c r="N8" s="112"/>
      <c r="O8" s="112"/>
      <c r="P8" s="112"/>
      <c r="Q8" s="113"/>
    </row>
    <row r="9" spans="1:21" ht="15.95" customHeight="1" thickBot="1" x14ac:dyDescent="0.3">
      <c r="B9" s="94" t="s">
        <v>13</v>
      </c>
      <c r="C9" s="133" t="s">
        <v>14</v>
      </c>
      <c r="D9" s="133"/>
      <c r="E9" s="133"/>
      <c r="F9" s="94" t="s">
        <v>15</v>
      </c>
      <c r="G9" s="94" t="s">
        <v>16</v>
      </c>
      <c r="H9" s="94" t="s">
        <v>17</v>
      </c>
      <c r="I9" s="133" t="s">
        <v>18</v>
      </c>
      <c r="J9" s="133"/>
      <c r="L9" s="114"/>
      <c r="M9" s="115"/>
      <c r="N9" s="115"/>
      <c r="O9" s="115"/>
      <c r="P9" s="115"/>
      <c r="Q9" s="116"/>
    </row>
    <row r="10" spans="1:21" ht="15.95" customHeight="1" x14ac:dyDescent="0.25">
      <c r="B10" s="95"/>
      <c r="C10" s="135"/>
      <c r="D10" s="135"/>
      <c r="E10" s="135"/>
      <c r="F10" s="95"/>
      <c r="G10" s="96"/>
      <c r="H10" s="97"/>
      <c r="I10" s="134"/>
      <c r="J10" s="134"/>
      <c r="L10" s="128" t="s">
        <v>110</v>
      </c>
      <c r="M10" s="129"/>
      <c r="N10" s="129"/>
      <c r="O10" s="130"/>
      <c r="P10" s="131"/>
      <c r="Q10" s="132"/>
    </row>
    <row r="11" spans="1:21" ht="15.95" customHeight="1" x14ac:dyDescent="0.25">
      <c r="B11" s="95"/>
      <c r="C11" s="135"/>
      <c r="D11" s="135"/>
      <c r="E11" s="135"/>
      <c r="F11" s="95"/>
      <c r="G11" s="96"/>
      <c r="H11" s="97"/>
      <c r="I11" s="134"/>
      <c r="J11" s="134"/>
      <c r="L11" s="121" t="s">
        <v>111</v>
      </c>
      <c r="M11" s="122"/>
      <c r="N11" s="122"/>
      <c r="O11" s="123"/>
      <c r="P11" s="117"/>
      <c r="Q11" s="118"/>
    </row>
    <row r="12" spans="1:21" ht="15.95" customHeight="1" x14ac:dyDescent="0.25">
      <c r="B12" s="95"/>
      <c r="C12" s="135"/>
      <c r="D12" s="135"/>
      <c r="E12" s="135"/>
      <c r="F12" s="95"/>
      <c r="G12" s="96"/>
      <c r="H12" s="97"/>
      <c r="I12" s="134"/>
      <c r="J12" s="134"/>
      <c r="L12" s="121" t="s">
        <v>19</v>
      </c>
      <c r="M12" s="122"/>
      <c r="N12" s="122"/>
      <c r="O12" s="123"/>
      <c r="P12" s="117"/>
      <c r="Q12" s="118"/>
    </row>
    <row r="13" spans="1:21" ht="15.95" customHeight="1" x14ac:dyDescent="0.25">
      <c r="B13" s="95"/>
      <c r="C13" s="135"/>
      <c r="D13" s="135"/>
      <c r="E13" s="135"/>
      <c r="F13" s="95"/>
      <c r="G13" s="96"/>
      <c r="H13" s="97"/>
      <c r="I13" s="134"/>
      <c r="J13" s="134"/>
      <c r="L13" s="121" t="s">
        <v>97</v>
      </c>
      <c r="M13" s="122"/>
      <c r="N13" s="122"/>
      <c r="O13" s="123"/>
      <c r="P13" s="117"/>
      <c r="Q13" s="118"/>
    </row>
    <row r="14" spans="1:21" ht="15.95" customHeight="1" x14ac:dyDescent="0.25">
      <c r="B14" s="95"/>
      <c r="C14" s="135"/>
      <c r="D14" s="135"/>
      <c r="E14" s="135"/>
      <c r="F14" s="95"/>
      <c r="G14" s="96"/>
      <c r="H14" s="97"/>
      <c r="I14" s="134"/>
      <c r="J14" s="134"/>
      <c r="L14" s="121" t="s">
        <v>98</v>
      </c>
      <c r="M14" s="122"/>
      <c r="N14" s="122"/>
      <c r="O14" s="123"/>
      <c r="P14" s="117"/>
      <c r="Q14" s="118"/>
    </row>
    <row r="15" spans="1:21" ht="15.95" customHeight="1" x14ac:dyDescent="0.25">
      <c r="B15" s="95"/>
      <c r="C15" s="135"/>
      <c r="D15" s="135"/>
      <c r="E15" s="135"/>
      <c r="F15" s="95"/>
      <c r="G15" s="96"/>
      <c r="H15" s="97"/>
      <c r="I15" s="134"/>
      <c r="J15" s="134"/>
      <c r="L15" s="121" t="s">
        <v>99</v>
      </c>
      <c r="M15" s="122"/>
      <c r="N15" s="122"/>
      <c r="O15" s="123"/>
      <c r="P15" s="117"/>
      <c r="Q15" s="118"/>
    </row>
    <row r="16" spans="1:21" ht="15.95" customHeight="1" x14ac:dyDescent="0.25">
      <c r="B16" s="95"/>
      <c r="C16" s="135"/>
      <c r="D16" s="135"/>
      <c r="E16" s="135"/>
      <c r="F16" s="95"/>
      <c r="G16" s="96"/>
      <c r="H16" s="97"/>
      <c r="I16" s="134"/>
      <c r="J16" s="134"/>
      <c r="L16" s="121" t="s">
        <v>9</v>
      </c>
      <c r="M16" s="122"/>
      <c r="N16" s="122"/>
      <c r="O16" s="123"/>
      <c r="P16" s="119"/>
      <c r="Q16" s="120"/>
    </row>
    <row r="17" spans="2:17" ht="15.95" customHeight="1" x14ac:dyDescent="0.25">
      <c r="B17" s="95"/>
      <c r="C17" s="135"/>
      <c r="D17" s="135"/>
      <c r="E17" s="135"/>
      <c r="F17" s="95"/>
      <c r="G17" s="96"/>
      <c r="H17" s="97"/>
      <c r="I17" s="134"/>
      <c r="J17" s="134"/>
      <c r="L17" s="121" t="s">
        <v>10</v>
      </c>
      <c r="M17" s="122"/>
      <c r="N17" s="122"/>
      <c r="O17" s="123"/>
      <c r="P17" s="119"/>
      <c r="Q17" s="120"/>
    </row>
    <row r="18" spans="2:17" ht="15.95" customHeight="1" thickBot="1" x14ac:dyDescent="0.3">
      <c r="B18" s="95"/>
      <c r="C18" s="135"/>
      <c r="D18" s="135"/>
      <c r="E18" s="135"/>
      <c r="F18" s="95"/>
      <c r="G18" s="96"/>
      <c r="H18" s="97"/>
      <c r="I18" s="134"/>
      <c r="J18" s="134"/>
      <c r="L18" s="124" t="s">
        <v>11</v>
      </c>
      <c r="M18" s="125"/>
      <c r="N18" s="125"/>
      <c r="O18" s="126"/>
      <c r="P18" s="109"/>
      <c r="Q18" s="110"/>
    </row>
    <row r="19" spans="2:17" ht="10.5" customHeight="1" thickBot="1" x14ac:dyDescent="0.3">
      <c r="B19" s="6"/>
      <c r="C19" s="6"/>
      <c r="D19" s="6"/>
      <c r="E19" s="6"/>
      <c r="F19" s="6"/>
      <c r="G19" s="6"/>
      <c r="H19" s="70" t="str">
        <f>IF(F19="","",VLOOKUP(B19,PEDIDOS!$B$9:$E$34,3))</f>
        <v/>
      </c>
      <c r="I19" s="6"/>
      <c r="J19" s="6"/>
    </row>
    <row r="20" spans="2:17" ht="15.95" customHeight="1" thickBot="1" x14ac:dyDescent="0.3">
      <c r="B20" s="143"/>
      <c r="C20" s="144"/>
      <c r="D20" s="144"/>
      <c r="E20" s="8"/>
      <c r="F20" s="88" t="s">
        <v>5</v>
      </c>
      <c r="G20" s="89"/>
      <c r="H20" s="149"/>
      <c r="I20" s="150"/>
      <c r="J20" s="151"/>
      <c r="L20" s="154" t="s">
        <v>92</v>
      </c>
      <c r="M20" s="155"/>
      <c r="N20" s="155"/>
      <c r="O20" s="156"/>
    </row>
    <row r="21" spans="2:17" ht="15.95" customHeight="1" x14ac:dyDescent="0.25">
      <c r="B21" s="145"/>
      <c r="C21" s="146"/>
      <c r="D21" s="146"/>
      <c r="E21" s="9"/>
      <c r="F21" s="90" t="s">
        <v>4</v>
      </c>
      <c r="G21" s="91"/>
      <c r="H21" s="161"/>
      <c r="I21" s="162"/>
      <c r="J21" s="163"/>
      <c r="L21" s="57" t="s">
        <v>93</v>
      </c>
      <c r="M21" s="58"/>
      <c r="N21" s="159" t="s">
        <v>112</v>
      </c>
      <c r="O21" s="160"/>
    </row>
    <row r="22" spans="2:17" ht="15.95" customHeight="1" x14ac:dyDescent="0.25">
      <c r="B22" s="145"/>
      <c r="C22" s="146"/>
      <c r="D22" s="146"/>
      <c r="E22" s="9"/>
      <c r="F22" s="90" t="s">
        <v>6</v>
      </c>
      <c r="G22" s="91"/>
      <c r="H22" s="136"/>
      <c r="I22" s="134"/>
      <c r="J22" s="137"/>
      <c r="L22" s="59" t="s">
        <v>94</v>
      </c>
      <c r="M22" s="60"/>
      <c r="N22" s="138" t="s">
        <v>115</v>
      </c>
      <c r="O22" s="139"/>
    </row>
    <row r="23" spans="2:17" ht="15.95" customHeight="1" x14ac:dyDescent="0.25">
      <c r="B23" s="145"/>
      <c r="C23" s="146"/>
      <c r="D23" s="146"/>
      <c r="E23" s="9"/>
      <c r="F23" s="90" t="s">
        <v>114</v>
      </c>
      <c r="G23" s="91"/>
      <c r="H23" s="136"/>
      <c r="I23" s="134"/>
      <c r="J23" s="137"/>
      <c r="L23" s="59" t="s">
        <v>113</v>
      </c>
      <c r="M23" s="60"/>
      <c r="N23" s="138" t="s">
        <v>116</v>
      </c>
      <c r="O23" s="139"/>
    </row>
    <row r="24" spans="2:17" ht="15.95" customHeight="1" thickBot="1" x14ac:dyDescent="0.3">
      <c r="B24" s="147"/>
      <c r="C24" s="148"/>
      <c r="D24" s="148"/>
      <c r="E24" s="10"/>
      <c r="F24" s="92" t="s">
        <v>7</v>
      </c>
      <c r="G24" s="93"/>
      <c r="H24" s="140"/>
      <c r="I24" s="141"/>
      <c r="J24" s="142"/>
      <c r="L24" s="152" t="s">
        <v>95</v>
      </c>
      <c r="M24" s="153"/>
      <c r="N24" s="157" t="s">
        <v>96</v>
      </c>
      <c r="O24" s="158"/>
    </row>
  </sheetData>
  <mergeCells count="58"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  <mergeCell ref="E2:J2"/>
    <mergeCell ref="B4:J4"/>
    <mergeCell ref="C5:J5"/>
    <mergeCell ref="C6:D6"/>
    <mergeCell ref="G6:J6"/>
    <mergeCell ref="E6:F6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H21:J21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</mergeCells>
  <dataValidations count="1">
    <dataValidation allowBlank="1" showErrorMessage="1" promptTitle="ATENÇÃO !!!" prompt="ID PRODUTO ENTRE 2000 E 2025." sqref="C10:J18" xr:uid="{00000000-0002-0000-0100-000000000000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43"/>
  <sheetViews>
    <sheetView showGridLines="0" tabSelected="1" topLeftCell="A13" workbookViewId="0">
      <selection activeCell="H18" sqref="H18"/>
    </sheetView>
  </sheetViews>
  <sheetFormatPr defaultRowHeight="15" outlineLevelRow="2" x14ac:dyDescent="0.25"/>
  <cols>
    <col min="1" max="1" width="3.5703125" customWidth="1"/>
    <col min="2" max="2" width="26.85546875" customWidth="1"/>
    <col min="3" max="3" width="18.7109375" customWidth="1"/>
    <col min="4" max="4" width="20" customWidth="1"/>
    <col min="5" max="5" width="3.28515625" customWidth="1"/>
  </cols>
  <sheetData>
    <row r="1" spans="2:10" ht="16.5" customHeight="1" x14ac:dyDescent="0.25"/>
    <row r="2" spans="2:10" x14ac:dyDescent="0.25">
      <c r="F2" s="15" t="s">
        <v>107</v>
      </c>
      <c r="G2" s="15"/>
      <c r="H2" s="15"/>
      <c r="I2" s="15"/>
      <c r="J2" s="15"/>
    </row>
    <row r="3" spans="2:10" x14ac:dyDescent="0.25">
      <c r="F3" s="15" t="s">
        <v>100</v>
      </c>
      <c r="G3" s="15"/>
      <c r="H3" s="15"/>
      <c r="I3" s="15"/>
      <c r="J3" s="15"/>
    </row>
    <row r="6" spans="2:10" x14ac:dyDescent="0.25">
      <c r="C6" s="14"/>
    </row>
    <row r="7" spans="2:10" ht="15.75" thickBot="1" x14ac:dyDescent="0.3">
      <c r="C7" s="14"/>
      <c r="I7" s="15"/>
    </row>
    <row r="8" spans="2:10" ht="16.5" thickBot="1" x14ac:dyDescent="0.3">
      <c r="B8" s="177" t="s">
        <v>108</v>
      </c>
      <c r="C8" s="178"/>
      <c r="D8" s="179"/>
    </row>
    <row r="9" spans="2:10" ht="9" customHeight="1" thickBot="1" x14ac:dyDescent="0.3">
      <c r="C9" s="14"/>
    </row>
    <row r="10" spans="2:10" ht="15.75" thickBot="1" x14ac:dyDescent="0.3">
      <c r="B10" s="80" t="s">
        <v>20</v>
      </c>
      <c r="C10" s="81" t="s">
        <v>21</v>
      </c>
      <c r="D10" s="80" t="s">
        <v>38</v>
      </c>
    </row>
    <row r="11" spans="2:10" outlineLevel="2" x14ac:dyDescent="0.25">
      <c r="B11" s="16" t="s">
        <v>22</v>
      </c>
      <c r="C11" s="26">
        <v>34856</v>
      </c>
      <c r="D11" s="17">
        <v>565544</v>
      </c>
      <c r="G11" s="14"/>
    </row>
    <row r="12" spans="2:10" outlineLevel="2" x14ac:dyDescent="0.25">
      <c r="B12" s="16" t="s">
        <v>22</v>
      </c>
      <c r="C12" s="27">
        <v>25221</v>
      </c>
      <c r="D12" s="18">
        <v>45214</v>
      </c>
      <c r="G12" s="14"/>
    </row>
    <row r="13" spans="2:10" outlineLevel="2" x14ac:dyDescent="0.25">
      <c r="B13" s="16" t="s">
        <v>22</v>
      </c>
      <c r="C13" s="27">
        <v>9857</v>
      </c>
      <c r="D13" s="18">
        <v>225663</v>
      </c>
      <c r="G13" s="14"/>
    </row>
    <row r="14" spans="2:10" outlineLevel="2" x14ac:dyDescent="0.25">
      <c r="B14" s="16" t="s">
        <v>22</v>
      </c>
      <c r="C14" s="27">
        <v>22336</v>
      </c>
      <c r="D14" s="18">
        <v>253654</v>
      </c>
      <c r="G14" s="14"/>
    </row>
    <row r="15" spans="2:10" outlineLevel="2" x14ac:dyDescent="0.25">
      <c r="B15" s="16" t="s">
        <v>22</v>
      </c>
      <c r="C15" s="27">
        <v>9587</v>
      </c>
      <c r="D15" s="18">
        <v>896542</v>
      </c>
      <c r="G15" s="14"/>
    </row>
    <row r="16" spans="2:10" outlineLevel="1" x14ac:dyDescent="0.25">
      <c r="B16" s="182" t="s">
        <v>130</v>
      </c>
      <c r="C16" s="27">
        <f>SUBTOTAL(9,C11:C15)</f>
        <v>101857</v>
      </c>
      <c r="D16" s="18"/>
      <c r="G16" s="14"/>
    </row>
    <row r="17" spans="2:4" outlineLevel="2" x14ac:dyDescent="0.25">
      <c r="B17" s="19" t="s">
        <v>23</v>
      </c>
      <c r="C17" s="28">
        <v>9852</v>
      </c>
      <c r="D17" s="20">
        <v>12544</v>
      </c>
    </row>
    <row r="18" spans="2:4" outlineLevel="2" x14ac:dyDescent="0.25">
      <c r="B18" s="19" t="s">
        <v>23</v>
      </c>
      <c r="C18" s="28">
        <v>11125</v>
      </c>
      <c r="D18" s="20">
        <v>25413</v>
      </c>
    </row>
    <row r="19" spans="2:4" outlineLevel="2" x14ac:dyDescent="0.25">
      <c r="B19" s="19" t="s">
        <v>23</v>
      </c>
      <c r="C19" s="27">
        <v>32556</v>
      </c>
      <c r="D19" s="18">
        <v>44474</v>
      </c>
    </row>
    <row r="20" spans="2:4" outlineLevel="2" x14ac:dyDescent="0.25">
      <c r="B20" s="19" t="s">
        <v>23</v>
      </c>
      <c r="C20" s="27">
        <v>45201</v>
      </c>
      <c r="D20" s="18">
        <v>142122</v>
      </c>
    </row>
    <row r="21" spans="2:4" outlineLevel="2" x14ac:dyDescent="0.25">
      <c r="B21" s="19" t="s">
        <v>23</v>
      </c>
      <c r="C21" s="27">
        <v>36982</v>
      </c>
      <c r="D21" s="18">
        <v>112253</v>
      </c>
    </row>
    <row r="22" spans="2:4" outlineLevel="2" x14ac:dyDescent="0.25">
      <c r="B22" s="19" t="s">
        <v>23</v>
      </c>
      <c r="C22" s="27">
        <v>41145</v>
      </c>
      <c r="D22" s="18">
        <v>121217</v>
      </c>
    </row>
    <row r="23" spans="2:4" outlineLevel="2" x14ac:dyDescent="0.25">
      <c r="B23" s="19" t="s">
        <v>23</v>
      </c>
      <c r="C23" s="27">
        <v>56632</v>
      </c>
      <c r="D23" s="18">
        <v>655554</v>
      </c>
    </row>
    <row r="24" spans="2:4" outlineLevel="2" x14ac:dyDescent="0.25">
      <c r="B24" s="19" t="s">
        <v>23</v>
      </c>
      <c r="C24" s="27">
        <v>41212</v>
      </c>
      <c r="D24" s="18">
        <v>561221</v>
      </c>
    </row>
    <row r="25" spans="2:4" outlineLevel="1" x14ac:dyDescent="0.25">
      <c r="B25" s="183" t="s">
        <v>131</v>
      </c>
      <c r="C25" s="27">
        <f>SUBTOTAL(9,C17:C24)</f>
        <v>274705</v>
      </c>
      <c r="D25" s="18"/>
    </row>
    <row r="26" spans="2:4" outlineLevel="2" x14ac:dyDescent="0.25">
      <c r="B26" s="21" t="s">
        <v>24</v>
      </c>
      <c r="C26" s="27">
        <v>19857</v>
      </c>
      <c r="D26" s="18">
        <v>121112</v>
      </c>
    </row>
    <row r="27" spans="2:4" outlineLevel="2" x14ac:dyDescent="0.25">
      <c r="B27" s="21" t="s">
        <v>24</v>
      </c>
      <c r="C27" s="27">
        <v>11741</v>
      </c>
      <c r="D27" s="18">
        <v>554112</v>
      </c>
    </row>
    <row r="28" spans="2:4" outlineLevel="2" x14ac:dyDescent="0.25">
      <c r="B28" s="21" t="s">
        <v>24</v>
      </c>
      <c r="C28" s="27">
        <v>22123</v>
      </c>
      <c r="D28" s="18">
        <v>185477</v>
      </c>
    </row>
    <row r="29" spans="2:4" outlineLevel="2" x14ac:dyDescent="0.25">
      <c r="B29" s="21" t="s">
        <v>24</v>
      </c>
      <c r="C29" s="27">
        <v>12365</v>
      </c>
      <c r="D29" s="18">
        <v>211456</v>
      </c>
    </row>
    <row r="30" spans="2:4" outlineLevel="2" x14ac:dyDescent="0.25">
      <c r="B30" s="21" t="s">
        <v>24</v>
      </c>
      <c r="C30" s="27">
        <v>6442</v>
      </c>
      <c r="D30" s="18">
        <v>121221</v>
      </c>
    </row>
    <row r="31" spans="2:4" outlineLevel="2" x14ac:dyDescent="0.25">
      <c r="B31" s="21" t="s">
        <v>24</v>
      </c>
      <c r="C31" s="27">
        <v>36985</v>
      </c>
      <c r="D31" s="18">
        <v>653222</v>
      </c>
    </row>
    <row r="32" spans="2:4" outlineLevel="1" x14ac:dyDescent="0.25">
      <c r="B32" s="184" t="s">
        <v>132</v>
      </c>
      <c r="C32" s="27">
        <f>SUBTOTAL(9,C26:C31)</f>
        <v>109513</v>
      </c>
      <c r="D32" s="18"/>
    </row>
    <row r="33" spans="2:4" outlineLevel="2" x14ac:dyDescent="0.25">
      <c r="B33" s="21" t="s">
        <v>25</v>
      </c>
      <c r="C33" s="27">
        <v>1256</v>
      </c>
      <c r="D33" s="18">
        <v>363512</v>
      </c>
    </row>
    <row r="34" spans="2:4" outlineLevel="2" x14ac:dyDescent="0.25">
      <c r="B34" s="21" t="s">
        <v>25</v>
      </c>
      <c r="C34" s="27">
        <v>985</v>
      </c>
      <c r="D34" s="18">
        <v>633221</v>
      </c>
    </row>
    <row r="35" spans="2:4" outlineLevel="2" x14ac:dyDescent="0.25">
      <c r="B35" s="21" t="s">
        <v>25</v>
      </c>
      <c r="C35" s="27">
        <v>46654.22</v>
      </c>
      <c r="D35" s="18">
        <v>545445</v>
      </c>
    </row>
    <row r="36" spans="2:4" outlineLevel="2" x14ac:dyDescent="0.25">
      <c r="B36" s="21" t="s">
        <v>25</v>
      </c>
      <c r="C36" s="27">
        <v>47242.16</v>
      </c>
      <c r="D36" s="18">
        <v>144587</v>
      </c>
    </row>
    <row r="37" spans="2:4" outlineLevel="2" x14ac:dyDescent="0.25">
      <c r="B37" s="21" t="s">
        <v>25</v>
      </c>
      <c r="C37" s="27">
        <v>47885.47</v>
      </c>
      <c r="D37" s="18">
        <v>152214</v>
      </c>
    </row>
    <row r="38" spans="2:4" outlineLevel="2" x14ac:dyDescent="0.25">
      <c r="B38" s="21" t="s">
        <v>25</v>
      </c>
      <c r="C38" s="27">
        <v>48420.45</v>
      </c>
      <c r="D38" s="18">
        <v>155634</v>
      </c>
    </row>
    <row r="39" spans="2:4" outlineLevel="1" x14ac:dyDescent="0.25">
      <c r="B39" s="184" t="s">
        <v>133</v>
      </c>
      <c r="C39" s="27">
        <f>SUBTOTAL(9,C33:C38)</f>
        <v>192443.3</v>
      </c>
      <c r="D39" s="18"/>
    </row>
    <row r="40" spans="2:4" outlineLevel="2" x14ac:dyDescent="0.25">
      <c r="B40" s="21" t="s">
        <v>26</v>
      </c>
      <c r="C40" s="27">
        <v>11232</v>
      </c>
      <c r="D40" s="18">
        <v>212211</v>
      </c>
    </row>
    <row r="41" spans="2:4" outlineLevel="2" x14ac:dyDescent="0.25">
      <c r="B41" s="21" t="s">
        <v>26</v>
      </c>
      <c r="C41" s="27">
        <v>15254</v>
      </c>
      <c r="D41" s="18">
        <v>985589</v>
      </c>
    </row>
    <row r="42" spans="2:4" outlineLevel="2" x14ac:dyDescent="0.25">
      <c r="B42" s="21" t="s">
        <v>26</v>
      </c>
      <c r="C42" s="27">
        <v>89954</v>
      </c>
      <c r="D42" s="18">
        <v>774444</v>
      </c>
    </row>
    <row r="43" spans="2:4" outlineLevel="2" x14ac:dyDescent="0.25">
      <c r="B43" s="21" t="s">
        <v>26</v>
      </c>
      <c r="C43" s="27">
        <v>78564</v>
      </c>
      <c r="D43" s="18">
        <v>985574</v>
      </c>
    </row>
    <row r="44" spans="2:4" outlineLevel="2" x14ac:dyDescent="0.25">
      <c r="B44" s="21" t="s">
        <v>26</v>
      </c>
      <c r="C44" s="27">
        <v>48963</v>
      </c>
      <c r="D44" s="22">
        <v>896523</v>
      </c>
    </row>
    <row r="45" spans="2:4" outlineLevel="2" x14ac:dyDescent="0.25">
      <c r="B45" s="21" t="s">
        <v>26</v>
      </c>
      <c r="C45" s="27">
        <v>6554</v>
      </c>
      <c r="D45" s="18">
        <v>554121</v>
      </c>
    </row>
    <row r="46" spans="2:4" outlineLevel="2" x14ac:dyDescent="0.25">
      <c r="B46" s="21" t="s">
        <v>26</v>
      </c>
      <c r="C46" s="27">
        <v>2245</v>
      </c>
      <c r="D46" s="18">
        <v>541223</v>
      </c>
    </row>
    <row r="47" spans="2:4" outlineLevel="2" x14ac:dyDescent="0.25">
      <c r="B47" s="21" t="s">
        <v>26</v>
      </c>
      <c r="C47" s="27">
        <v>6552</v>
      </c>
      <c r="D47" s="18">
        <v>411522</v>
      </c>
    </row>
    <row r="48" spans="2:4" outlineLevel="1" x14ac:dyDescent="0.25">
      <c r="B48" s="184" t="s">
        <v>134</v>
      </c>
      <c r="C48" s="27">
        <f>SUBTOTAL(9,C40:C47)</f>
        <v>259318</v>
      </c>
      <c r="D48" s="18"/>
    </row>
    <row r="49" spans="2:4" outlineLevel="2" x14ac:dyDescent="0.25">
      <c r="B49" s="21" t="s">
        <v>27</v>
      </c>
      <c r="C49" s="27">
        <v>2256</v>
      </c>
      <c r="D49" s="18">
        <v>411223</v>
      </c>
    </row>
    <row r="50" spans="2:4" outlineLevel="2" x14ac:dyDescent="0.25">
      <c r="B50" s="21" t="s">
        <v>27</v>
      </c>
      <c r="C50" s="27">
        <v>9874</v>
      </c>
      <c r="D50" s="18">
        <v>411244</v>
      </c>
    </row>
    <row r="51" spans="2:4" outlineLevel="2" x14ac:dyDescent="0.25">
      <c r="B51" s="21" t="s">
        <v>27</v>
      </c>
      <c r="C51" s="27">
        <v>5555</v>
      </c>
      <c r="D51" s="18">
        <v>221412</v>
      </c>
    </row>
    <row r="52" spans="2:4" outlineLevel="2" x14ac:dyDescent="0.25">
      <c r="B52" s="21" t="s">
        <v>27</v>
      </c>
      <c r="C52" s="28">
        <v>22251</v>
      </c>
      <c r="D52" s="20">
        <v>21555</v>
      </c>
    </row>
    <row r="53" spans="2:4" outlineLevel="2" x14ac:dyDescent="0.25">
      <c r="B53" s="21" t="s">
        <v>27</v>
      </c>
      <c r="C53" s="28">
        <v>19852</v>
      </c>
      <c r="D53" s="20">
        <v>15452</v>
      </c>
    </row>
    <row r="54" spans="2:4" outlineLevel="2" x14ac:dyDescent="0.25">
      <c r="B54" s="21" t="s">
        <v>27</v>
      </c>
      <c r="C54" s="28">
        <v>48963</v>
      </c>
      <c r="D54" s="20">
        <v>256314</v>
      </c>
    </row>
    <row r="55" spans="2:4" outlineLevel="2" x14ac:dyDescent="0.25">
      <c r="B55" s="21" t="s">
        <v>27</v>
      </c>
      <c r="C55" s="27">
        <v>14411</v>
      </c>
      <c r="D55" s="18">
        <v>115474</v>
      </c>
    </row>
    <row r="56" spans="2:4" outlineLevel="1" x14ac:dyDescent="0.25">
      <c r="B56" s="184" t="s">
        <v>135</v>
      </c>
      <c r="C56" s="27">
        <f>SUBTOTAL(9,C49:C55)</f>
        <v>123162</v>
      </c>
      <c r="D56" s="18"/>
    </row>
    <row r="57" spans="2:4" outlineLevel="2" x14ac:dyDescent="0.25">
      <c r="B57" s="21" t="s">
        <v>28</v>
      </c>
      <c r="C57" s="27">
        <v>142987</v>
      </c>
      <c r="D57" s="18">
        <v>114212</v>
      </c>
    </row>
    <row r="58" spans="2:4" outlineLevel="2" x14ac:dyDescent="0.25">
      <c r="B58" s="21" t="s">
        <v>28</v>
      </c>
      <c r="C58" s="27">
        <v>52698</v>
      </c>
      <c r="D58" s="18">
        <v>256332</v>
      </c>
    </row>
    <row r="59" spans="2:4" outlineLevel="2" x14ac:dyDescent="0.25">
      <c r="B59" s="21" t="s">
        <v>28</v>
      </c>
      <c r="C59" s="27">
        <v>45678</v>
      </c>
      <c r="D59" s="18">
        <v>215211</v>
      </c>
    </row>
    <row r="60" spans="2:4" outlineLevel="2" x14ac:dyDescent="0.25">
      <c r="B60" s="21" t="s">
        <v>28</v>
      </c>
      <c r="C60" s="27">
        <v>12526</v>
      </c>
      <c r="D60" s="18">
        <v>225148</v>
      </c>
    </row>
    <row r="61" spans="2:4" outlineLevel="2" x14ac:dyDescent="0.25">
      <c r="B61" s="21" t="s">
        <v>28</v>
      </c>
      <c r="C61" s="27">
        <v>23456</v>
      </c>
      <c r="D61" s="18">
        <v>256984</v>
      </c>
    </row>
    <row r="62" spans="2:4" outlineLevel="1" x14ac:dyDescent="0.25">
      <c r="B62" s="184" t="s">
        <v>136</v>
      </c>
      <c r="C62" s="27">
        <f>SUBTOTAL(9,C57:C61)</f>
        <v>277345</v>
      </c>
      <c r="D62" s="18"/>
    </row>
    <row r="63" spans="2:4" outlineLevel="2" x14ac:dyDescent="0.25">
      <c r="B63" s="21" t="s">
        <v>29</v>
      </c>
      <c r="C63" s="27">
        <v>97654</v>
      </c>
      <c r="D63" s="18">
        <v>112154</v>
      </c>
    </row>
    <row r="64" spans="2:4" outlineLevel="2" x14ac:dyDescent="0.25">
      <c r="B64" s="21" t="s">
        <v>29</v>
      </c>
      <c r="C64" s="27">
        <v>56789</v>
      </c>
      <c r="D64" s="18">
        <v>248963</v>
      </c>
    </row>
    <row r="65" spans="2:4" outlineLevel="2" x14ac:dyDescent="0.25">
      <c r="B65" s="21" t="s">
        <v>29</v>
      </c>
      <c r="C65" s="27">
        <v>36987</v>
      </c>
      <c r="D65" s="18">
        <v>256489</v>
      </c>
    </row>
    <row r="66" spans="2:4" outlineLevel="2" x14ac:dyDescent="0.25">
      <c r="B66" s="21" t="s">
        <v>29</v>
      </c>
      <c r="C66" s="27">
        <v>123456</v>
      </c>
      <c r="D66" s="18">
        <v>122536</v>
      </c>
    </row>
    <row r="67" spans="2:4" outlineLevel="2" x14ac:dyDescent="0.25">
      <c r="B67" s="21" t="s">
        <v>29</v>
      </c>
      <c r="C67" s="27">
        <v>25859</v>
      </c>
      <c r="D67" s="18">
        <v>568854</v>
      </c>
    </row>
    <row r="68" spans="2:4" outlineLevel="2" x14ac:dyDescent="0.25">
      <c r="B68" s="21" t="s">
        <v>29</v>
      </c>
      <c r="C68" s="27">
        <v>17896</v>
      </c>
      <c r="D68" s="18">
        <v>556352</v>
      </c>
    </row>
    <row r="69" spans="2:4" outlineLevel="2" x14ac:dyDescent="0.25">
      <c r="B69" s="21" t="s">
        <v>29</v>
      </c>
      <c r="C69" s="27">
        <v>49076</v>
      </c>
      <c r="D69" s="18">
        <v>552854</v>
      </c>
    </row>
    <row r="70" spans="2:4" outlineLevel="2" x14ac:dyDescent="0.25">
      <c r="B70" s="21" t="s">
        <v>29</v>
      </c>
      <c r="C70" s="27">
        <v>28965</v>
      </c>
      <c r="D70" s="18">
        <v>122525</v>
      </c>
    </row>
    <row r="71" spans="2:4" outlineLevel="2" x14ac:dyDescent="0.25">
      <c r="B71" s="21" t="s">
        <v>29</v>
      </c>
      <c r="C71" s="27">
        <v>36985</v>
      </c>
      <c r="D71" s="18">
        <v>241221</v>
      </c>
    </row>
    <row r="72" spans="2:4" outlineLevel="1" x14ac:dyDescent="0.25">
      <c r="B72" s="184" t="s">
        <v>137</v>
      </c>
      <c r="C72" s="27">
        <f>SUBTOTAL(9,C63:C71)</f>
        <v>473667</v>
      </c>
      <c r="D72" s="18"/>
    </row>
    <row r="73" spans="2:4" outlineLevel="2" x14ac:dyDescent="0.25">
      <c r="B73" s="21" t="s">
        <v>30</v>
      </c>
      <c r="C73" s="27">
        <v>45632</v>
      </c>
      <c r="D73" s="18">
        <v>656254</v>
      </c>
    </row>
    <row r="74" spans="2:4" outlineLevel="2" x14ac:dyDescent="0.25">
      <c r="B74" s="21" t="s">
        <v>30</v>
      </c>
      <c r="C74" s="27">
        <v>24896</v>
      </c>
      <c r="D74" s="18">
        <v>654101</v>
      </c>
    </row>
    <row r="75" spans="2:4" outlineLevel="2" x14ac:dyDescent="0.25">
      <c r="B75" s="21" t="s">
        <v>30</v>
      </c>
      <c r="C75" s="27">
        <v>17596</v>
      </c>
      <c r="D75" s="18">
        <v>556652</v>
      </c>
    </row>
    <row r="76" spans="2:4" outlineLevel="2" x14ac:dyDescent="0.25">
      <c r="B76" s="21" t="s">
        <v>30</v>
      </c>
      <c r="C76" s="27">
        <v>5698</v>
      </c>
      <c r="D76" s="18">
        <v>454541</v>
      </c>
    </row>
    <row r="77" spans="2:4" outlineLevel="2" x14ac:dyDescent="0.25">
      <c r="B77" s="21" t="s">
        <v>30</v>
      </c>
      <c r="C77" s="27">
        <v>9865</v>
      </c>
      <c r="D77" s="18">
        <v>322221</v>
      </c>
    </row>
    <row r="78" spans="2:4" outlineLevel="2" x14ac:dyDescent="0.25">
      <c r="B78" s="21" t="s">
        <v>30</v>
      </c>
      <c r="C78" s="27">
        <v>12365</v>
      </c>
      <c r="D78" s="18">
        <v>256544</v>
      </c>
    </row>
    <row r="79" spans="2:4" outlineLevel="2" x14ac:dyDescent="0.25">
      <c r="B79" s="21" t="s">
        <v>30</v>
      </c>
      <c r="C79" s="27">
        <v>12124</v>
      </c>
      <c r="D79" s="18">
        <v>561121</v>
      </c>
    </row>
    <row r="80" spans="2:4" outlineLevel="2" x14ac:dyDescent="0.25">
      <c r="B80" s="21" t="s">
        <v>30</v>
      </c>
      <c r="C80" s="27">
        <v>18965</v>
      </c>
      <c r="D80" s="18">
        <v>574544</v>
      </c>
    </row>
    <row r="81" spans="2:6" outlineLevel="2" x14ac:dyDescent="0.25">
      <c r="B81" s="21" t="s">
        <v>30</v>
      </c>
      <c r="C81" s="27">
        <v>21145</v>
      </c>
      <c r="D81" s="18">
        <v>157445</v>
      </c>
    </row>
    <row r="82" spans="2:6" outlineLevel="1" x14ac:dyDescent="0.25">
      <c r="B82" s="184" t="s">
        <v>138</v>
      </c>
      <c r="C82" s="27">
        <f>SUBTOTAL(9,C73:C81)</f>
        <v>168286</v>
      </c>
      <c r="D82" s="18"/>
    </row>
    <row r="83" spans="2:6" outlineLevel="2" x14ac:dyDescent="0.25">
      <c r="B83" s="21" t="s">
        <v>31</v>
      </c>
      <c r="C83" s="27">
        <v>14545</v>
      </c>
      <c r="D83" s="18">
        <v>111522</v>
      </c>
    </row>
    <row r="84" spans="2:6" outlineLevel="2" x14ac:dyDescent="0.25">
      <c r="B84" s="21" t="s">
        <v>31</v>
      </c>
      <c r="C84" s="27">
        <v>12566</v>
      </c>
      <c r="D84" s="18">
        <v>112235</v>
      </c>
    </row>
    <row r="85" spans="2:6" outlineLevel="2" x14ac:dyDescent="0.25">
      <c r="B85" s="21" t="s">
        <v>31</v>
      </c>
      <c r="C85" s="27">
        <v>17854</v>
      </c>
      <c r="D85" s="18">
        <v>211142</v>
      </c>
      <c r="F85" s="23"/>
    </row>
    <row r="86" spans="2:6" outlineLevel="2" x14ac:dyDescent="0.25">
      <c r="B86" s="21" t="s">
        <v>31</v>
      </c>
      <c r="C86" s="27">
        <v>19325</v>
      </c>
      <c r="D86" s="18">
        <v>211331</v>
      </c>
    </row>
    <row r="87" spans="2:6" outlineLevel="2" x14ac:dyDescent="0.25">
      <c r="B87" s="21" t="s">
        <v>31</v>
      </c>
      <c r="C87" s="27">
        <v>16544</v>
      </c>
      <c r="D87" s="18">
        <v>654122</v>
      </c>
    </row>
    <row r="88" spans="2:6" outlineLevel="2" x14ac:dyDescent="0.25">
      <c r="B88" s="21" t="s">
        <v>31</v>
      </c>
      <c r="C88" s="27">
        <v>25632</v>
      </c>
      <c r="D88" s="18">
        <v>565213</v>
      </c>
    </row>
    <row r="89" spans="2:6" outlineLevel="1" x14ac:dyDescent="0.25">
      <c r="B89" s="184" t="s">
        <v>139</v>
      </c>
      <c r="C89" s="27">
        <f>SUBTOTAL(9,C83:C88)</f>
        <v>106466</v>
      </c>
      <c r="D89" s="18"/>
    </row>
    <row r="90" spans="2:6" outlineLevel="2" x14ac:dyDescent="0.25">
      <c r="B90" s="21" t="s">
        <v>32</v>
      </c>
      <c r="C90" s="27">
        <v>14567</v>
      </c>
      <c r="D90" s="18">
        <v>263589</v>
      </c>
    </row>
    <row r="91" spans="2:6" outlineLevel="2" x14ac:dyDescent="0.25">
      <c r="B91" s="21" t="s">
        <v>32</v>
      </c>
      <c r="C91" s="27">
        <v>38763</v>
      </c>
      <c r="D91" s="18">
        <v>126655</v>
      </c>
    </row>
    <row r="92" spans="2:6" outlineLevel="2" x14ac:dyDescent="0.25">
      <c r="B92" s="21" t="s">
        <v>32</v>
      </c>
      <c r="C92" s="27">
        <v>14552</v>
      </c>
      <c r="D92" s="22">
        <v>122636</v>
      </c>
    </row>
    <row r="93" spans="2:6" outlineLevel="2" x14ac:dyDescent="0.25">
      <c r="B93" s="21" t="s">
        <v>32</v>
      </c>
      <c r="C93" s="27">
        <v>34567</v>
      </c>
      <c r="D93" s="22">
        <v>156636</v>
      </c>
    </row>
    <row r="94" spans="2:6" outlineLevel="2" x14ac:dyDescent="0.25">
      <c r="B94" s="21" t="s">
        <v>32</v>
      </c>
      <c r="C94" s="27">
        <v>76889</v>
      </c>
      <c r="D94" s="18">
        <v>141252</v>
      </c>
    </row>
    <row r="95" spans="2:6" outlineLevel="2" x14ac:dyDescent="0.25">
      <c r="B95" s="21" t="s">
        <v>32</v>
      </c>
      <c r="C95" s="27">
        <v>34324</v>
      </c>
      <c r="D95" s="18">
        <v>225412</v>
      </c>
    </row>
    <row r="96" spans="2:6" outlineLevel="2" x14ac:dyDescent="0.25">
      <c r="B96" s="21" t="s">
        <v>32</v>
      </c>
      <c r="C96" s="27">
        <v>19976</v>
      </c>
      <c r="D96" s="18">
        <v>365212</v>
      </c>
    </row>
    <row r="97" spans="2:4" outlineLevel="1" x14ac:dyDescent="0.25">
      <c r="B97" s="184" t="s">
        <v>140</v>
      </c>
      <c r="C97" s="27">
        <f>SUBTOTAL(9,C90:C96)</f>
        <v>233638</v>
      </c>
      <c r="D97" s="18"/>
    </row>
    <row r="98" spans="2:4" outlineLevel="2" x14ac:dyDescent="0.25">
      <c r="B98" s="21" t="s">
        <v>33</v>
      </c>
      <c r="C98" s="27">
        <v>115567</v>
      </c>
      <c r="D98" s="18">
        <v>114522</v>
      </c>
    </row>
    <row r="99" spans="2:4" outlineLevel="2" x14ac:dyDescent="0.25">
      <c r="B99" s="21" t="s">
        <v>33</v>
      </c>
      <c r="C99" s="27">
        <v>98756</v>
      </c>
      <c r="D99" s="18">
        <v>655654</v>
      </c>
    </row>
    <row r="100" spans="2:4" outlineLevel="2" x14ac:dyDescent="0.25">
      <c r="B100" s="21" t="s">
        <v>33</v>
      </c>
      <c r="C100" s="27">
        <v>56789</v>
      </c>
      <c r="D100" s="18">
        <v>112554</v>
      </c>
    </row>
    <row r="101" spans="2:4" outlineLevel="2" x14ac:dyDescent="0.25">
      <c r="B101" s="21" t="s">
        <v>33</v>
      </c>
      <c r="C101" s="27">
        <v>65456</v>
      </c>
      <c r="D101" s="18">
        <v>663541</v>
      </c>
    </row>
    <row r="102" spans="2:4" outlineLevel="2" x14ac:dyDescent="0.25">
      <c r="B102" s="21" t="s">
        <v>33</v>
      </c>
      <c r="C102" s="27">
        <v>36789</v>
      </c>
      <c r="D102" s="18">
        <v>211122</v>
      </c>
    </row>
    <row r="103" spans="2:4" outlineLevel="2" x14ac:dyDescent="0.25">
      <c r="B103" s="21" t="s">
        <v>33</v>
      </c>
      <c r="C103" s="27">
        <v>65467</v>
      </c>
      <c r="D103" s="18">
        <v>226541</v>
      </c>
    </row>
    <row r="104" spans="2:4" outlineLevel="2" x14ac:dyDescent="0.25">
      <c r="B104" s="21" t="s">
        <v>33</v>
      </c>
      <c r="C104" s="27">
        <v>23456</v>
      </c>
      <c r="D104" s="18">
        <v>541141</v>
      </c>
    </row>
    <row r="105" spans="2:4" outlineLevel="2" x14ac:dyDescent="0.25">
      <c r="B105" s="21" t="s">
        <v>33</v>
      </c>
      <c r="C105" s="27">
        <v>54322</v>
      </c>
      <c r="D105" s="18">
        <v>522151</v>
      </c>
    </row>
    <row r="106" spans="2:4" outlineLevel="1" x14ac:dyDescent="0.25">
      <c r="B106" s="184" t="s">
        <v>141</v>
      </c>
      <c r="C106" s="27">
        <f>SUBTOTAL(9,C98:C105)</f>
        <v>516602</v>
      </c>
      <c r="D106" s="18"/>
    </row>
    <row r="107" spans="2:4" outlineLevel="2" x14ac:dyDescent="0.25">
      <c r="B107" s="21" t="s">
        <v>34</v>
      </c>
      <c r="C107" s="27">
        <v>14585</v>
      </c>
      <c r="D107" s="22">
        <v>511152</v>
      </c>
    </row>
    <row r="108" spans="2:4" outlineLevel="2" x14ac:dyDescent="0.25">
      <c r="B108" s="21" t="s">
        <v>34</v>
      </c>
      <c r="C108" s="27">
        <v>9876</v>
      </c>
      <c r="D108" s="22">
        <v>656252</v>
      </c>
    </row>
    <row r="109" spans="2:4" outlineLevel="2" x14ac:dyDescent="0.25">
      <c r="B109" s="21" t="s">
        <v>34</v>
      </c>
      <c r="C109" s="27">
        <v>6754</v>
      </c>
      <c r="D109" s="22">
        <v>422112</v>
      </c>
    </row>
    <row r="110" spans="2:4" outlineLevel="2" x14ac:dyDescent="0.25">
      <c r="B110" s="21" t="s">
        <v>34</v>
      </c>
      <c r="C110" s="27">
        <v>3456</v>
      </c>
      <c r="D110" s="18">
        <v>212221</v>
      </c>
    </row>
    <row r="111" spans="2:4" outlineLevel="1" x14ac:dyDescent="0.25">
      <c r="B111" s="184" t="s">
        <v>142</v>
      </c>
      <c r="C111" s="27">
        <f>SUBTOTAL(9,C107:C110)</f>
        <v>34671</v>
      </c>
      <c r="D111" s="18"/>
    </row>
    <row r="112" spans="2:4" outlineLevel="2" x14ac:dyDescent="0.25">
      <c r="B112" s="21" t="s">
        <v>39</v>
      </c>
      <c r="C112" s="27">
        <v>45678</v>
      </c>
      <c r="D112" s="18">
        <v>332211</v>
      </c>
    </row>
    <row r="113" spans="2:4" outlineLevel="2" x14ac:dyDescent="0.25">
      <c r="B113" s="21" t="s">
        <v>39</v>
      </c>
      <c r="C113" s="27">
        <v>32456</v>
      </c>
      <c r="D113" s="18">
        <v>445643</v>
      </c>
    </row>
    <row r="114" spans="2:4" outlineLevel="2" x14ac:dyDescent="0.25">
      <c r="B114" s="21" t="s">
        <v>39</v>
      </c>
      <c r="C114" s="27">
        <v>12347</v>
      </c>
      <c r="D114" s="18">
        <v>754455</v>
      </c>
    </row>
    <row r="115" spans="2:4" outlineLevel="2" x14ac:dyDescent="0.25">
      <c r="B115" s="21" t="s">
        <v>39</v>
      </c>
      <c r="C115" s="27">
        <v>97900</v>
      </c>
      <c r="D115" s="18">
        <v>654766</v>
      </c>
    </row>
    <row r="116" spans="2:4" outlineLevel="2" x14ac:dyDescent="0.25">
      <c r="B116" s="21" t="s">
        <v>39</v>
      </c>
      <c r="C116" s="27">
        <v>13456</v>
      </c>
      <c r="D116" s="18">
        <v>768543</v>
      </c>
    </row>
    <row r="117" spans="2:4" outlineLevel="2" x14ac:dyDescent="0.25">
      <c r="B117" s="21" t="s">
        <v>39</v>
      </c>
      <c r="C117" s="27">
        <v>78954</v>
      </c>
      <c r="D117" s="18">
        <v>343456</v>
      </c>
    </row>
    <row r="118" spans="2:4" outlineLevel="1" x14ac:dyDescent="0.25">
      <c r="B118" s="184" t="s">
        <v>143</v>
      </c>
      <c r="C118" s="27">
        <f>SUBTOTAL(9,C112:C117)</f>
        <v>280791</v>
      </c>
      <c r="D118" s="18"/>
    </row>
    <row r="119" spans="2:4" outlineLevel="2" x14ac:dyDescent="0.25">
      <c r="B119" s="21" t="s">
        <v>35</v>
      </c>
      <c r="C119" s="27">
        <v>16789</v>
      </c>
      <c r="D119" s="18">
        <v>552111</v>
      </c>
    </row>
    <row r="120" spans="2:4" outlineLevel="2" x14ac:dyDescent="0.25">
      <c r="B120" s="21" t="s">
        <v>35</v>
      </c>
      <c r="C120" s="27">
        <v>56789</v>
      </c>
      <c r="D120" s="18">
        <v>256332</v>
      </c>
    </row>
    <row r="121" spans="2:4" outlineLevel="2" x14ac:dyDescent="0.25">
      <c r="B121" s="21" t="s">
        <v>35</v>
      </c>
      <c r="C121" s="27">
        <v>23456</v>
      </c>
      <c r="D121" s="18">
        <v>554232</v>
      </c>
    </row>
    <row r="122" spans="2:4" outlineLevel="2" x14ac:dyDescent="0.25">
      <c r="B122" s="21" t="s">
        <v>35</v>
      </c>
      <c r="C122" s="27">
        <v>65432</v>
      </c>
      <c r="D122" s="18">
        <v>455524</v>
      </c>
    </row>
    <row r="123" spans="2:4" outlineLevel="2" x14ac:dyDescent="0.25">
      <c r="B123" s="21" t="s">
        <v>35</v>
      </c>
      <c r="C123" s="27">
        <v>21234</v>
      </c>
      <c r="D123" s="18">
        <v>556321</v>
      </c>
    </row>
    <row r="124" spans="2:4" outlineLevel="2" x14ac:dyDescent="0.25">
      <c r="B124" s="21" t="s">
        <v>35</v>
      </c>
      <c r="C124" s="27">
        <v>11224</v>
      </c>
      <c r="D124" s="18">
        <v>541255</v>
      </c>
    </row>
    <row r="125" spans="2:4" outlineLevel="1" x14ac:dyDescent="0.25">
      <c r="B125" s="184" t="s">
        <v>144</v>
      </c>
      <c r="C125" s="27">
        <f>SUBTOTAL(9,C119:C124)</f>
        <v>194924</v>
      </c>
      <c r="D125" s="18"/>
    </row>
    <row r="126" spans="2:4" outlineLevel="2" x14ac:dyDescent="0.25">
      <c r="B126" s="21" t="s">
        <v>36</v>
      </c>
      <c r="C126" s="27">
        <v>17525</v>
      </c>
      <c r="D126" s="18">
        <v>526321</v>
      </c>
    </row>
    <row r="127" spans="2:4" outlineLevel="2" x14ac:dyDescent="0.25">
      <c r="B127" s="21" t="s">
        <v>36</v>
      </c>
      <c r="C127" s="27">
        <v>25983</v>
      </c>
      <c r="D127" s="18">
        <v>565121</v>
      </c>
    </row>
    <row r="128" spans="2:4" outlineLevel="2" x14ac:dyDescent="0.25">
      <c r="B128" s="21" t="s">
        <v>36</v>
      </c>
      <c r="C128" s="27">
        <v>56662</v>
      </c>
      <c r="D128" s="18">
        <v>231566</v>
      </c>
    </row>
    <row r="129" spans="2:4" outlineLevel="2" x14ac:dyDescent="0.25">
      <c r="B129" s="21" t="s">
        <v>36</v>
      </c>
      <c r="C129" s="27">
        <v>66523</v>
      </c>
      <c r="D129" s="18">
        <v>366544</v>
      </c>
    </row>
    <row r="130" spans="2:4" outlineLevel="2" x14ac:dyDescent="0.25">
      <c r="B130" s="21" t="s">
        <v>36</v>
      </c>
      <c r="C130" s="27">
        <v>89652</v>
      </c>
      <c r="D130" s="18">
        <v>662354</v>
      </c>
    </row>
    <row r="131" spans="2:4" outlineLevel="2" x14ac:dyDescent="0.25">
      <c r="B131" s="21" t="s">
        <v>36</v>
      </c>
      <c r="C131" s="27">
        <v>23365</v>
      </c>
      <c r="D131" s="18">
        <v>665522</v>
      </c>
    </row>
    <row r="132" spans="2:4" outlineLevel="2" x14ac:dyDescent="0.25">
      <c r="B132" s="21" t="s">
        <v>36</v>
      </c>
      <c r="C132" s="27">
        <v>36985</v>
      </c>
      <c r="D132" s="22">
        <v>668523</v>
      </c>
    </row>
    <row r="133" spans="2:4" outlineLevel="2" x14ac:dyDescent="0.25">
      <c r="B133" s="21" t="s">
        <v>36</v>
      </c>
      <c r="C133" s="27">
        <v>56635</v>
      </c>
      <c r="D133" s="18">
        <v>555441</v>
      </c>
    </row>
    <row r="134" spans="2:4" outlineLevel="1" x14ac:dyDescent="0.25">
      <c r="B134" s="184" t="s">
        <v>145</v>
      </c>
      <c r="C134" s="27">
        <f>SUBTOTAL(9,C126:C133)</f>
        <v>373330</v>
      </c>
      <c r="D134" s="18"/>
    </row>
    <row r="135" spans="2:4" outlineLevel="2" x14ac:dyDescent="0.25">
      <c r="B135" s="21" t="s">
        <v>37</v>
      </c>
      <c r="C135" s="27">
        <v>113456</v>
      </c>
      <c r="D135" s="18">
        <v>122000</v>
      </c>
    </row>
    <row r="136" spans="2:4" outlineLevel="2" x14ac:dyDescent="0.25">
      <c r="B136" s="21" t="s">
        <v>37</v>
      </c>
      <c r="C136" s="27">
        <v>97654</v>
      </c>
      <c r="D136" s="18">
        <v>454545</v>
      </c>
    </row>
    <row r="137" spans="2:4" outlineLevel="2" x14ac:dyDescent="0.25">
      <c r="B137" s="21" t="s">
        <v>37</v>
      </c>
      <c r="C137" s="27">
        <v>22234</v>
      </c>
      <c r="D137" s="18">
        <v>565544</v>
      </c>
    </row>
    <row r="138" spans="2:4" outlineLevel="2" x14ac:dyDescent="0.25">
      <c r="B138" s="21" t="s">
        <v>37</v>
      </c>
      <c r="C138" s="27">
        <v>33456</v>
      </c>
      <c r="D138" s="18">
        <v>556441</v>
      </c>
    </row>
    <row r="139" spans="2:4" outlineLevel="2" x14ac:dyDescent="0.25">
      <c r="B139" s="21" t="s">
        <v>37</v>
      </c>
      <c r="C139" s="27">
        <v>35872</v>
      </c>
      <c r="D139" s="18">
        <v>556544</v>
      </c>
    </row>
    <row r="140" spans="2:4" outlineLevel="2" x14ac:dyDescent="0.25">
      <c r="B140" s="21" t="s">
        <v>37</v>
      </c>
      <c r="C140" s="27">
        <v>25893</v>
      </c>
      <c r="D140" s="18">
        <v>122533</v>
      </c>
    </row>
    <row r="141" spans="2:4" ht="15.75" outlineLevel="2" thickBot="1" x14ac:dyDescent="0.3">
      <c r="B141" s="24" t="s">
        <v>37</v>
      </c>
      <c r="C141" s="29">
        <v>65891</v>
      </c>
      <c r="D141" s="25">
        <v>125221</v>
      </c>
    </row>
    <row r="142" spans="2:4" outlineLevel="1" x14ac:dyDescent="0.25">
      <c r="B142" s="187" t="s">
        <v>146</v>
      </c>
      <c r="C142" s="185">
        <f>SUBTOTAL(9,C135:C141)</f>
        <v>394456</v>
      </c>
      <c r="D142" s="186"/>
    </row>
    <row r="143" spans="2:4" x14ac:dyDescent="0.25">
      <c r="B143" s="187" t="s">
        <v>147</v>
      </c>
      <c r="C143" s="185">
        <f>SUBTOTAL(9,C11:C141)</f>
        <v>4115174.3</v>
      </c>
      <c r="D143" s="186"/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topLeftCell="A5" workbookViewId="0">
      <selection activeCell="B10" sqref="B10"/>
    </sheetView>
  </sheetViews>
  <sheetFormatPr defaultRowHeight="15" x14ac:dyDescent="0.25"/>
  <cols>
    <col min="1" max="1" width="3.7109375" customWidth="1"/>
    <col min="2" max="4" width="22" customWidth="1"/>
    <col min="6" max="6" width="25.28515625" customWidth="1"/>
    <col min="7" max="7" width="21.85546875" customWidth="1"/>
  </cols>
  <sheetData>
    <row r="1" spans="2:14" ht="11.25" customHeight="1" x14ac:dyDescent="0.25"/>
    <row r="3" spans="2:14" x14ac:dyDescent="0.25">
      <c r="F3" s="38" t="s">
        <v>127</v>
      </c>
    </row>
    <row r="4" spans="2:14" x14ac:dyDescent="0.25">
      <c r="F4" s="38" t="s">
        <v>106</v>
      </c>
    </row>
    <row r="6" spans="2:14" x14ac:dyDescent="0.25">
      <c r="N6" s="61"/>
    </row>
    <row r="7" spans="2:14" ht="15.75" thickBot="1" x14ac:dyDescent="0.3"/>
    <row r="8" spans="2:14" ht="16.5" thickBot="1" x14ac:dyDescent="0.3">
      <c r="B8" s="177" t="s">
        <v>109</v>
      </c>
      <c r="C8" s="178"/>
      <c r="D8" s="178"/>
      <c r="F8" s="177" t="s">
        <v>40</v>
      </c>
      <c r="G8" s="179"/>
    </row>
    <row r="9" spans="2:14" ht="8.25" customHeight="1" thickBot="1" x14ac:dyDescent="0.3">
      <c r="G9" s="14"/>
    </row>
    <row r="10" spans="2:14" ht="15.75" thickBot="1" x14ac:dyDescent="0.3">
      <c r="B10" s="80" t="s">
        <v>20</v>
      </c>
      <c r="C10" s="81" t="s">
        <v>21</v>
      </c>
      <c r="D10" s="80" t="s">
        <v>38</v>
      </c>
      <c r="F10" s="82" t="s">
        <v>20</v>
      </c>
      <c r="G10" s="83" t="s">
        <v>128</v>
      </c>
    </row>
    <row r="11" spans="2:14" x14ac:dyDescent="0.25">
      <c r="B11" s="16" t="s">
        <v>22</v>
      </c>
      <c r="C11" s="26">
        <v>34856</v>
      </c>
      <c r="D11" s="17">
        <v>565544</v>
      </c>
      <c r="F11" s="35"/>
      <c r="G11" s="30"/>
      <c r="H11" s="84"/>
    </row>
    <row r="12" spans="2:14" x14ac:dyDescent="0.25">
      <c r="B12" s="16" t="s">
        <v>22</v>
      </c>
      <c r="C12" s="27">
        <v>25221</v>
      </c>
      <c r="D12" s="18">
        <v>45214</v>
      </c>
      <c r="F12" s="19"/>
      <c r="G12" s="31"/>
      <c r="H12" s="84"/>
    </row>
    <row r="13" spans="2:14" x14ac:dyDescent="0.25">
      <c r="B13" s="16" t="s">
        <v>22</v>
      </c>
      <c r="C13" s="27">
        <v>9857</v>
      </c>
      <c r="D13" s="18">
        <v>225663</v>
      </c>
      <c r="F13" s="21"/>
      <c r="G13" s="31"/>
      <c r="H13" s="84"/>
    </row>
    <row r="14" spans="2:14" x14ac:dyDescent="0.25">
      <c r="B14" s="16" t="s">
        <v>22</v>
      </c>
      <c r="C14" s="27">
        <v>22336</v>
      </c>
      <c r="D14" s="18">
        <v>253654</v>
      </c>
      <c r="F14" s="21"/>
      <c r="G14" s="31"/>
      <c r="H14" s="84"/>
    </row>
    <row r="15" spans="2:14" x14ac:dyDescent="0.25">
      <c r="B15" s="16" t="s">
        <v>22</v>
      </c>
      <c r="C15" s="27">
        <v>9587</v>
      </c>
      <c r="D15" s="18">
        <v>896542</v>
      </c>
      <c r="F15" s="21"/>
      <c r="G15" s="31"/>
      <c r="H15" s="84"/>
    </row>
    <row r="16" spans="2:14" x14ac:dyDescent="0.25">
      <c r="B16" s="19" t="s">
        <v>23</v>
      </c>
      <c r="C16" s="28">
        <v>9852</v>
      </c>
      <c r="D16" s="20">
        <v>12544</v>
      </c>
      <c r="F16" s="19"/>
      <c r="G16" s="32"/>
      <c r="H16" s="84"/>
    </row>
    <row r="17" spans="2:8" x14ac:dyDescent="0.25">
      <c r="B17" s="19" t="s">
        <v>23</v>
      </c>
      <c r="C17" s="28">
        <v>11125</v>
      </c>
      <c r="D17" s="20">
        <v>25413</v>
      </c>
      <c r="F17" s="19"/>
      <c r="G17" s="32"/>
      <c r="H17" s="84"/>
    </row>
    <row r="18" spans="2:8" x14ac:dyDescent="0.25">
      <c r="B18" s="19" t="s">
        <v>23</v>
      </c>
      <c r="C18" s="27">
        <v>32556</v>
      </c>
      <c r="D18" s="18">
        <v>44474</v>
      </c>
      <c r="F18" s="19"/>
      <c r="G18" s="31"/>
      <c r="H18" s="84"/>
    </row>
    <row r="19" spans="2:8" x14ac:dyDescent="0.25">
      <c r="B19" s="19" t="s">
        <v>23</v>
      </c>
      <c r="C19" s="27">
        <v>45201</v>
      </c>
      <c r="D19" s="18">
        <v>142122</v>
      </c>
      <c r="F19" s="19"/>
      <c r="G19" s="31"/>
      <c r="H19" s="84"/>
    </row>
    <row r="20" spans="2:8" x14ac:dyDescent="0.25">
      <c r="B20" s="19" t="s">
        <v>23</v>
      </c>
      <c r="C20" s="27">
        <v>36982</v>
      </c>
      <c r="D20" s="18">
        <v>112253</v>
      </c>
      <c r="F20" s="19"/>
      <c r="G20" s="31"/>
      <c r="H20" s="84"/>
    </row>
    <row r="21" spans="2:8" x14ac:dyDescent="0.25">
      <c r="B21" s="19" t="s">
        <v>23</v>
      </c>
      <c r="C21" s="27">
        <v>41145</v>
      </c>
      <c r="D21" s="18">
        <v>121217</v>
      </c>
      <c r="F21" s="19"/>
      <c r="G21" s="31"/>
      <c r="H21" s="84"/>
    </row>
    <row r="22" spans="2:8" x14ac:dyDescent="0.25">
      <c r="B22" s="19" t="s">
        <v>23</v>
      </c>
      <c r="C22" s="27">
        <v>56632</v>
      </c>
      <c r="D22" s="18">
        <v>655554</v>
      </c>
      <c r="F22" s="19"/>
      <c r="G22" s="31"/>
      <c r="H22" s="84"/>
    </row>
    <row r="23" spans="2:8" x14ac:dyDescent="0.25">
      <c r="B23" s="19" t="s">
        <v>23</v>
      </c>
      <c r="C23" s="27">
        <v>41212</v>
      </c>
      <c r="D23" s="18">
        <v>561221</v>
      </c>
      <c r="F23" s="19"/>
      <c r="G23" s="31"/>
    </row>
    <row r="24" spans="2:8" x14ac:dyDescent="0.25">
      <c r="B24" s="21" t="s">
        <v>24</v>
      </c>
      <c r="C24" s="27">
        <v>19857</v>
      </c>
      <c r="D24" s="18">
        <v>121112</v>
      </c>
      <c r="F24" s="36"/>
      <c r="G24" s="33"/>
      <c r="H24" s="84"/>
    </row>
    <row r="25" spans="2:8" x14ac:dyDescent="0.25">
      <c r="B25" s="21" t="s">
        <v>24</v>
      </c>
      <c r="C25" s="27">
        <v>11741</v>
      </c>
      <c r="D25" s="18">
        <v>554112</v>
      </c>
      <c r="F25" s="36"/>
      <c r="G25" s="33"/>
      <c r="H25" s="84"/>
    </row>
    <row r="26" spans="2:8" x14ac:dyDescent="0.25">
      <c r="B26" s="21" t="s">
        <v>24</v>
      </c>
      <c r="C26" s="27">
        <v>22123</v>
      </c>
      <c r="D26" s="18">
        <v>185477</v>
      </c>
      <c r="F26" s="36"/>
      <c r="G26" s="33"/>
      <c r="H26" s="84"/>
    </row>
    <row r="27" spans="2:8" ht="15.75" thickBot="1" x14ac:dyDescent="0.3">
      <c r="B27" s="21" t="s">
        <v>24</v>
      </c>
      <c r="C27" s="27">
        <v>12365</v>
      </c>
      <c r="D27" s="18">
        <v>211456</v>
      </c>
      <c r="F27" s="37"/>
      <c r="G27" s="34"/>
      <c r="H27" s="84"/>
    </row>
    <row r="28" spans="2:8" x14ac:dyDescent="0.25">
      <c r="B28" s="21" t="s">
        <v>24</v>
      </c>
      <c r="C28" s="27">
        <v>6442</v>
      </c>
      <c r="D28" s="18">
        <v>121221</v>
      </c>
    </row>
    <row r="29" spans="2:8" x14ac:dyDescent="0.25">
      <c r="B29" s="21" t="s">
        <v>24</v>
      </c>
      <c r="C29" s="27">
        <v>36985</v>
      </c>
      <c r="D29" s="18">
        <v>653222</v>
      </c>
    </row>
    <row r="30" spans="2:8" x14ac:dyDescent="0.25">
      <c r="B30" s="21" t="s">
        <v>25</v>
      </c>
      <c r="C30" s="27">
        <v>1256</v>
      </c>
      <c r="D30" s="18">
        <v>363512</v>
      </c>
    </row>
    <row r="31" spans="2:8" x14ac:dyDescent="0.25">
      <c r="B31" s="21" t="s">
        <v>25</v>
      </c>
      <c r="C31" s="27">
        <v>985</v>
      </c>
      <c r="D31" s="18">
        <v>633221</v>
      </c>
    </row>
    <row r="32" spans="2:8" x14ac:dyDescent="0.25">
      <c r="B32" s="21" t="s">
        <v>25</v>
      </c>
      <c r="C32" s="27">
        <v>46654.22</v>
      </c>
      <c r="D32" s="18">
        <v>545445</v>
      </c>
    </row>
    <row r="33" spans="2:4" x14ac:dyDescent="0.25">
      <c r="B33" s="21" t="s">
        <v>25</v>
      </c>
      <c r="C33" s="27">
        <v>47242.16</v>
      </c>
      <c r="D33" s="18">
        <v>144587</v>
      </c>
    </row>
    <row r="34" spans="2:4" x14ac:dyDescent="0.25">
      <c r="B34" s="21" t="s">
        <v>25</v>
      </c>
      <c r="C34" s="27">
        <v>47885.47</v>
      </c>
      <c r="D34" s="18">
        <v>152214</v>
      </c>
    </row>
    <row r="35" spans="2:4" x14ac:dyDescent="0.25">
      <c r="B35" s="21" t="s">
        <v>25</v>
      </c>
      <c r="C35" s="27">
        <v>48420.45</v>
      </c>
      <c r="D35" s="18">
        <v>155634</v>
      </c>
    </row>
    <row r="36" spans="2:4" x14ac:dyDescent="0.25">
      <c r="B36" s="21" t="s">
        <v>26</v>
      </c>
      <c r="C36" s="27">
        <v>11232</v>
      </c>
      <c r="D36" s="18">
        <v>212211</v>
      </c>
    </row>
    <row r="37" spans="2:4" x14ac:dyDescent="0.25">
      <c r="B37" s="21" t="s">
        <v>26</v>
      </c>
      <c r="C37" s="27">
        <v>15254</v>
      </c>
      <c r="D37" s="18">
        <v>985589</v>
      </c>
    </row>
    <row r="38" spans="2:4" x14ac:dyDescent="0.25">
      <c r="B38" s="21" t="s">
        <v>26</v>
      </c>
      <c r="C38" s="27">
        <v>89954</v>
      </c>
      <c r="D38" s="18">
        <v>774444</v>
      </c>
    </row>
    <row r="39" spans="2:4" x14ac:dyDescent="0.25">
      <c r="B39" s="21" t="s">
        <v>26</v>
      </c>
      <c r="C39" s="27">
        <v>78564</v>
      </c>
      <c r="D39" s="18">
        <v>985574</v>
      </c>
    </row>
    <row r="40" spans="2:4" x14ac:dyDescent="0.25">
      <c r="B40" s="21" t="s">
        <v>26</v>
      </c>
      <c r="C40" s="27">
        <v>48963</v>
      </c>
      <c r="D40" s="22">
        <v>896523</v>
      </c>
    </row>
    <row r="41" spans="2:4" x14ac:dyDescent="0.25">
      <c r="B41" s="21" t="s">
        <v>26</v>
      </c>
      <c r="C41" s="27">
        <v>6554</v>
      </c>
      <c r="D41" s="18">
        <v>554121</v>
      </c>
    </row>
    <row r="42" spans="2:4" x14ac:dyDescent="0.25">
      <c r="B42" s="21" t="s">
        <v>26</v>
      </c>
      <c r="C42" s="27">
        <v>2245</v>
      </c>
      <c r="D42" s="18">
        <v>541223</v>
      </c>
    </row>
    <row r="43" spans="2:4" x14ac:dyDescent="0.25">
      <c r="B43" s="21" t="s">
        <v>26</v>
      </c>
      <c r="C43" s="27">
        <v>6552</v>
      </c>
      <c r="D43" s="18">
        <v>411522</v>
      </c>
    </row>
    <row r="44" spans="2:4" x14ac:dyDescent="0.25">
      <c r="B44" s="21" t="s">
        <v>27</v>
      </c>
      <c r="C44" s="27">
        <v>2256</v>
      </c>
      <c r="D44" s="18">
        <v>411223</v>
      </c>
    </row>
    <row r="45" spans="2:4" x14ac:dyDescent="0.25">
      <c r="B45" s="21" t="s">
        <v>27</v>
      </c>
      <c r="C45" s="27">
        <v>9874</v>
      </c>
      <c r="D45" s="18">
        <v>411244</v>
      </c>
    </row>
    <row r="46" spans="2:4" x14ac:dyDescent="0.25">
      <c r="B46" s="21" t="s">
        <v>27</v>
      </c>
      <c r="C46" s="27">
        <v>5555</v>
      </c>
      <c r="D46" s="18">
        <v>221412</v>
      </c>
    </row>
    <row r="47" spans="2:4" x14ac:dyDescent="0.25">
      <c r="B47" s="21" t="s">
        <v>27</v>
      </c>
      <c r="C47" s="28">
        <v>22251</v>
      </c>
      <c r="D47" s="20">
        <v>21555</v>
      </c>
    </row>
    <row r="48" spans="2:4" x14ac:dyDescent="0.25">
      <c r="B48" s="21" t="s">
        <v>27</v>
      </c>
      <c r="C48" s="28">
        <v>19852</v>
      </c>
      <c r="D48" s="20">
        <v>15452</v>
      </c>
    </row>
    <row r="49" spans="2:4" x14ac:dyDescent="0.25">
      <c r="B49" s="21" t="s">
        <v>27</v>
      </c>
      <c r="C49" s="28">
        <v>48963</v>
      </c>
      <c r="D49" s="20">
        <v>256314</v>
      </c>
    </row>
    <row r="50" spans="2:4" x14ac:dyDescent="0.25">
      <c r="B50" s="21" t="s">
        <v>27</v>
      </c>
      <c r="C50" s="27">
        <v>14411</v>
      </c>
      <c r="D50" s="18">
        <v>115474</v>
      </c>
    </row>
    <row r="51" spans="2:4" x14ac:dyDescent="0.25">
      <c r="B51" s="21" t="s">
        <v>28</v>
      </c>
      <c r="C51" s="27">
        <v>142987</v>
      </c>
      <c r="D51" s="18">
        <v>114212</v>
      </c>
    </row>
    <row r="52" spans="2:4" x14ac:dyDescent="0.25">
      <c r="B52" s="21" t="s">
        <v>28</v>
      </c>
      <c r="C52" s="27">
        <v>52698</v>
      </c>
      <c r="D52" s="18">
        <v>256332</v>
      </c>
    </row>
    <row r="53" spans="2:4" x14ac:dyDescent="0.25">
      <c r="B53" s="21" t="s">
        <v>28</v>
      </c>
      <c r="C53" s="27">
        <v>45678</v>
      </c>
      <c r="D53" s="18">
        <v>215211</v>
      </c>
    </row>
    <row r="54" spans="2:4" x14ac:dyDescent="0.25">
      <c r="B54" s="21" t="s">
        <v>28</v>
      </c>
      <c r="C54" s="27">
        <v>12526</v>
      </c>
      <c r="D54" s="18">
        <v>225148</v>
      </c>
    </row>
    <row r="55" spans="2:4" x14ac:dyDescent="0.25">
      <c r="B55" s="21" t="s">
        <v>28</v>
      </c>
      <c r="C55" s="27">
        <v>23456</v>
      </c>
      <c r="D55" s="18">
        <v>256984</v>
      </c>
    </row>
    <row r="56" spans="2:4" x14ac:dyDescent="0.25">
      <c r="B56" s="21" t="s">
        <v>29</v>
      </c>
      <c r="C56" s="27">
        <v>97654</v>
      </c>
      <c r="D56" s="18">
        <v>112154</v>
      </c>
    </row>
    <row r="57" spans="2:4" x14ac:dyDescent="0.25">
      <c r="B57" s="21" t="s">
        <v>29</v>
      </c>
      <c r="C57" s="27">
        <v>56789</v>
      </c>
      <c r="D57" s="18">
        <v>248963</v>
      </c>
    </row>
    <row r="58" spans="2:4" x14ac:dyDescent="0.25">
      <c r="B58" s="21" t="s">
        <v>29</v>
      </c>
      <c r="C58" s="27">
        <v>36987</v>
      </c>
      <c r="D58" s="18">
        <v>256489</v>
      </c>
    </row>
    <row r="59" spans="2:4" x14ac:dyDescent="0.25">
      <c r="B59" s="21" t="s">
        <v>29</v>
      </c>
      <c r="C59" s="27">
        <v>123456</v>
      </c>
      <c r="D59" s="18">
        <v>122536</v>
      </c>
    </row>
    <row r="60" spans="2:4" x14ac:dyDescent="0.25">
      <c r="B60" s="21" t="s">
        <v>29</v>
      </c>
      <c r="C60" s="27">
        <v>25859</v>
      </c>
      <c r="D60" s="18">
        <v>568854</v>
      </c>
    </row>
    <row r="61" spans="2:4" x14ac:dyDescent="0.25">
      <c r="B61" s="21" t="s">
        <v>29</v>
      </c>
      <c r="C61" s="27">
        <v>17896</v>
      </c>
      <c r="D61" s="18">
        <v>556352</v>
      </c>
    </row>
    <row r="62" spans="2:4" x14ac:dyDescent="0.25">
      <c r="B62" s="21" t="s">
        <v>29</v>
      </c>
      <c r="C62" s="27">
        <v>49076</v>
      </c>
      <c r="D62" s="18">
        <v>552854</v>
      </c>
    </row>
    <row r="63" spans="2:4" x14ac:dyDescent="0.25">
      <c r="B63" s="21" t="s">
        <v>29</v>
      </c>
      <c r="C63" s="27">
        <v>28965</v>
      </c>
      <c r="D63" s="18">
        <v>122525</v>
      </c>
    </row>
    <row r="64" spans="2:4" x14ac:dyDescent="0.25">
      <c r="B64" s="21" t="s">
        <v>29</v>
      </c>
      <c r="C64" s="27">
        <v>36985</v>
      </c>
      <c r="D64" s="18">
        <v>241221</v>
      </c>
    </row>
    <row r="65" spans="2:4" x14ac:dyDescent="0.25">
      <c r="B65" s="21" t="s">
        <v>30</v>
      </c>
      <c r="C65" s="27">
        <v>45632</v>
      </c>
      <c r="D65" s="18">
        <v>656254</v>
      </c>
    </row>
    <row r="66" spans="2:4" x14ac:dyDescent="0.25">
      <c r="B66" s="21" t="s">
        <v>30</v>
      </c>
      <c r="C66" s="27">
        <v>24896</v>
      </c>
      <c r="D66" s="18">
        <v>654101</v>
      </c>
    </row>
    <row r="67" spans="2:4" x14ac:dyDescent="0.25">
      <c r="B67" s="21" t="s">
        <v>30</v>
      </c>
      <c r="C67" s="27">
        <v>17596</v>
      </c>
      <c r="D67" s="18">
        <v>556652</v>
      </c>
    </row>
    <row r="68" spans="2:4" x14ac:dyDescent="0.25">
      <c r="B68" s="21" t="s">
        <v>30</v>
      </c>
      <c r="C68" s="27">
        <v>5698</v>
      </c>
      <c r="D68" s="18">
        <v>454541</v>
      </c>
    </row>
    <row r="69" spans="2:4" x14ac:dyDescent="0.25">
      <c r="B69" s="21" t="s">
        <v>30</v>
      </c>
      <c r="C69" s="27">
        <v>9865</v>
      </c>
      <c r="D69" s="18">
        <v>322221</v>
      </c>
    </row>
    <row r="70" spans="2:4" x14ac:dyDescent="0.25">
      <c r="B70" s="21" t="s">
        <v>30</v>
      </c>
      <c r="C70" s="27">
        <v>12365</v>
      </c>
      <c r="D70" s="18">
        <v>256544</v>
      </c>
    </row>
    <row r="71" spans="2:4" x14ac:dyDescent="0.25">
      <c r="B71" s="21" t="s">
        <v>30</v>
      </c>
      <c r="C71" s="27">
        <v>12124</v>
      </c>
      <c r="D71" s="18">
        <v>561121</v>
      </c>
    </row>
    <row r="72" spans="2:4" x14ac:dyDescent="0.25">
      <c r="B72" s="21" t="s">
        <v>30</v>
      </c>
      <c r="C72" s="27">
        <v>18965</v>
      </c>
      <c r="D72" s="18">
        <v>574544</v>
      </c>
    </row>
    <row r="73" spans="2:4" x14ac:dyDescent="0.25">
      <c r="B73" s="21" t="s">
        <v>30</v>
      </c>
      <c r="C73" s="27">
        <v>21145</v>
      </c>
      <c r="D73" s="18">
        <v>157445</v>
      </c>
    </row>
    <row r="74" spans="2:4" x14ac:dyDescent="0.25">
      <c r="B74" s="21" t="s">
        <v>31</v>
      </c>
      <c r="C74" s="27">
        <v>14545</v>
      </c>
      <c r="D74" s="18">
        <v>111522</v>
      </c>
    </row>
    <row r="75" spans="2:4" x14ac:dyDescent="0.25">
      <c r="B75" s="21" t="s">
        <v>31</v>
      </c>
      <c r="C75" s="27">
        <v>12566</v>
      </c>
      <c r="D75" s="18">
        <v>112235</v>
      </c>
    </row>
    <row r="76" spans="2:4" x14ac:dyDescent="0.25">
      <c r="B76" s="21" t="s">
        <v>31</v>
      </c>
      <c r="C76" s="27">
        <v>17854</v>
      </c>
      <c r="D76" s="18">
        <v>211142</v>
      </c>
    </row>
    <row r="77" spans="2:4" x14ac:dyDescent="0.25">
      <c r="B77" s="21" t="s">
        <v>31</v>
      </c>
      <c r="C77" s="27">
        <v>19325</v>
      </c>
      <c r="D77" s="18">
        <v>211331</v>
      </c>
    </row>
    <row r="78" spans="2:4" x14ac:dyDescent="0.25">
      <c r="B78" s="21" t="s">
        <v>31</v>
      </c>
      <c r="C78" s="27">
        <v>16544</v>
      </c>
      <c r="D78" s="18">
        <v>654122</v>
      </c>
    </row>
    <row r="79" spans="2:4" x14ac:dyDescent="0.25">
      <c r="B79" s="21" t="s">
        <v>31</v>
      </c>
      <c r="C79" s="27">
        <v>25632</v>
      </c>
      <c r="D79" s="18">
        <v>565213</v>
      </c>
    </row>
    <row r="80" spans="2:4" x14ac:dyDescent="0.25">
      <c r="B80" s="21" t="s">
        <v>32</v>
      </c>
      <c r="C80" s="27">
        <v>14567</v>
      </c>
      <c r="D80" s="18">
        <v>263589</v>
      </c>
    </row>
    <row r="81" spans="2:4" x14ac:dyDescent="0.25">
      <c r="B81" s="21" t="s">
        <v>32</v>
      </c>
      <c r="C81" s="27">
        <v>38763</v>
      </c>
      <c r="D81" s="18">
        <v>126655</v>
      </c>
    </row>
    <row r="82" spans="2:4" x14ac:dyDescent="0.25">
      <c r="B82" s="21" t="s">
        <v>32</v>
      </c>
      <c r="C82" s="27">
        <v>14552</v>
      </c>
      <c r="D82" s="22">
        <v>122636</v>
      </c>
    </row>
    <row r="83" spans="2:4" x14ac:dyDescent="0.25">
      <c r="B83" s="21" t="s">
        <v>32</v>
      </c>
      <c r="C83" s="27">
        <v>34567</v>
      </c>
      <c r="D83" s="22">
        <v>156636</v>
      </c>
    </row>
    <row r="84" spans="2:4" x14ac:dyDescent="0.25">
      <c r="B84" s="21" t="s">
        <v>32</v>
      </c>
      <c r="C84" s="27">
        <v>76889</v>
      </c>
      <c r="D84" s="18">
        <v>141252</v>
      </c>
    </row>
    <row r="85" spans="2:4" x14ac:dyDescent="0.25">
      <c r="B85" s="21" t="s">
        <v>32</v>
      </c>
      <c r="C85" s="27">
        <v>34324</v>
      </c>
      <c r="D85" s="18">
        <v>225412</v>
      </c>
    </row>
    <row r="86" spans="2:4" x14ac:dyDescent="0.25">
      <c r="B86" s="21" t="s">
        <v>32</v>
      </c>
      <c r="C86" s="27">
        <v>19976</v>
      </c>
      <c r="D86" s="18">
        <v>365212</v>
      </c>
    </row>
    <row r="87" spans="2:4" x14ac:dyDescent="0.25">
      <c r="B87" s="21" t="s">
        <v>33</v>
      </c>
      <c r="C87" s="27">
        <v>115567</v>
      </c>
      <c r="D87" s="18">
        <v>114522</v>
      </c>
    </row>
    <row r="88" spans="2:4" x14ac:dyDescent="0.25">
      <c r="B88" s="21" t="s">
        <v>33</v>
      </c>
      <c r="C88" s="27">
        <v>98756</v>
      </c>
      <c r="D88" s="18">
        <v>655654</v>
      </c>
    </row>
    <row r="89" spans="2:4" x14ac:dyDescent="0.25">
      <c r="B89" s="21" t="s">
        <v>33</v>
      </c>
      <c r="C89" s="27">
        <v>56789</v>
      </c>
      <c r="D89" s="18">
        <v>112554</v>
      </c>
    </row>
    <row r="90" spans="2:4" x14ac:dyDescent="0.25">
      <c r="B90" s="21" t="s">
        <v>33</v>
      </c>
      <c r="C90" s="27">
        <v>65456</v>
      </c>
      <c r="D90" s="18">
        <v>663541</v>
      </c>
    </row>
    <row r="91" spans="2:4" x14ac:dyDescent="0.25">
      <c r="B91" s="21" t="s">
        <v>33</v>
      </c>
      <c r="C91" s="27">
        <v>36789</v>
      </c>
      <c r="D91" s="18">
        <v>211122</v>
      </c>
    </row>
    <row r="92" spans="2:4" x14ac:dyDescent="0.25">
      <c r="B92" s="21" t="s">
        <v>33</v>
      </c>
      <c r="C92" s="27">
        <v>65467</v>
      </c>
      <c r="D92" s="18">
        <v>226541</v>
      </c>
    </row>
    <row r="93" spans="2:4" x14ac:dyDescent="0.25">
      <c r="B93" s="21" t="s">
        <v>33</v>
      </c>
      <c r="C93" s="27">
        <v>23456</v>
      </c>
      <c r="D93" s="18">
        <v>541141</v>
      </c>
    </row>
    <row r="94" spans="2:4" x14ac:dyDescent="0.25">
      <c r="B94" s="21" t="s">
        <v>33</v>
      </c>
      <c r="C94" s="27">
        <v>54322</v>
      </c>
      <c r="D94" s="18">
        <v>522151</v>
      </c>
    </row>
    <row r="95" spans="2:4" x14ac:dyDescent="0.25">
      <c r="B95" s="21" t="s">
        <v>34</v>
      </c>
      <c r="C95" s="27">
        <v>14585</v>
      </c>
      <c r="D95" s="22">
        <v>511152</v>
      </c>
    </row>
    <row r="96" spans="2:4" x14ac:dyDescent="0.25">
      <c r="B96" s="21" t="s">
        <v>34</v>
      </c>
      <c r="C96" s="27">
        <v>9876</v>
      </c>
      <c r="D96" s="22">
        <v>656252</v>
      </c>
    </row>
    <row r="97" spans="2:4" x14ac:dyDescent="0.25">
      <c r="B97" s="21" t="s">
        <v>34</v>
      </c>
      <c r="C97" s="27">
        <v>6754</v>
      </c>
      <c r="D97" s="22">
        <v>422112</v>
      </c>
    </row>
    <row r="98" spans="2:4" x14ac:dyDescent="0.25">
      <c r="B98" s="21" t="s">
        <v>34</v>
      </c>
      <c r="C98" s="27">
        <v>3456</v>
      </c>
      <c r="D98" s="18">
        <v>212221</v>
      </c>
    </row>
    <row r="99" spans="2:4" x14ac:dyDescent="0.25">
      <c r="B99" s="21" t="s">
        <v>39</v>
      </c>
      <c r="C99" s="27">
        <v>45678</v>
      </c>
      <c r="D99" s="18">
        <v>332211</v>
      </c>
    </row>
    <row r="100" spans="2:4" x14ac:dyDescent="0.25">
      <c r="B100" s="21" t="s">
        <v>39</v>
      </c>
      <c r="C100" s="27">
        <v>32456</v>
      </c>
      <c r="D100" s="18">
        <v>445643</v>
      </c>
    </row>
    <row r="101" spans="2:4" x14ac:dyDescent="0.25">
      <c r="B101" s="21" t="s">
        <v>39</v>
      </c>
      <c r="C101" s="27">
        <v>12347</v>
      </c>
      <c r="D101" s="18">
        <v>754455</v>
      </c>
    </row>
    <row r="102" spans="2:4" x14ac:dyDescent="0.25">
      <c r="B102" s="21" t="s">
        <v>39</v>
      </c>
      <c r="C102" s="27">
        <v>97900</v>
      </c>
      <c r="D102" s="18">
        <v>654766</v>
      </c>
    </row>
    <row r="103" spans="2:4" x14ac:dyDescent="0.25">
      <c r="B103" s="21" t="s">
        <v>39</v>
      </c>
      <c r="C103" s="27">
        <v>13456</v>
      </c>
      <c r="D103" s="18">
        <v>768543</v>
      </c>
    </row>
    <row r="104" spans="2:4" x14ac:dyDescent="0.25">
      <c r="B104" s="21" t="s">
        <v>39</v>
      </c>
      <c r="C104" s="27">
        <v>78954</v>
      </c>
      <c r="D104" s="18">
        <v>343456</v>
      </c>
    </row>
    <row r="105" spans="2:4" x14ac:dyDescent="0.25">
      <c r="B105" s="21" t="s">
        <v>35</v>
      </c>
      <c r="C105" s="27">
        <v>16789</v>
      </c>
      <c r="D105" s="18">
        <v>552111</v>
      </c>
    </row>
    <row r="106" spans="2:4" x14ac:dyDescent="0.25">
      <c r="B106" s="21" t="s">
        <v>35</v>
      </c>
      <c r="C106" s="27">
        <v>56789</v>
      </c>
      <c r="D106" s="18">
        <v>256332</v>
      </c>
    </row>
    <row r="107" spans="2:4" x14ac:dyDescent="0.25">
      <c r="B107" s="21" t="s">
        <v>35</v>
      </c>
      <c r="C107" s="27">
        <v>23456</v>
      </c>
      <c r="D107" s="18">
        <v>554232</v>
      </c>
    </row>
    <row r="108" spans="2:4" x14ac:dyDescent="0.25">
      <c r="B108" s="21" t="s">
        <v>35</v>
      </c>
      <c r="C108" s="27">
        <v>65432</v>
      </c>
      <c r="D108" s="18">
        <v>455524</v>
      </c>
    </row>
    <row r="109" spans="2:4" x14ac:dyDescent="0.25">
      <c r="B109" s="21" t="s">
        <v>35</v>
      </c>
      <c r="C109" s="27">
        <v>21234</v>
      </c>
      <c r="D109" s="18">
        <v>556321</v>
      </c>
    </row>
    <row r="110" spans="2:4" x14ac:dyDescent="0.25">
      <c r="B110" s="21" t="s">
        <v>35</v>
      </c>
      <c r="C110" s="27">
        <v>11224</v>
      </c>
      <c r="D110" s="18">
        <v>541255</v>
      </c>
    </row>
    <row r="111" spans="2:4" x14ac:dyDescent="0.25">
      <c r="B111" s="21" t="s">
        <v>36</v>
      </c>
      <c r="C111" s="27">
        <v>17525</v>
      </c>
      <c r="D111" s="18">
        <v>526321</v>
      </c>
    </row>
    <row r="112" spans="2:4" x14ac:dyDescent="0.25">
      <c r="B112" s="21" t="s">
        <v>36</v>
      </c>
      <c r="C112" s="27">
        <v>25983</v>
      </c>
      <c r="D112" s="18">
        <v>565121</v>
      </c>
    </row>
    <row r="113" spans="2:4" x14ac:dyDescent="0.25">
      <c r="B113" s="21" t="s">
        <v>36</v>
      </c>
      <c r="C113" s="27">
        <v>56662</v>
      </c>
      <c r="D113" s="18">
        <v>231566</v>
      </c>
    </row>
    <row r="114" spans="2:4" x14ac:dyDescent="0.25">
      <c r="B114" s="21" t="s">
        <v>36</v>
      </c>
      <c r="C114" s="27">
        <v>66523</v>
      </c>
      <c r="D114" s="18">
        <v>366544</v>
      </c>
    </row>
    <row r="115" spans="2:4" x14ac:dyDescent="0.25">
      <c r="B115" s="21" t="s">
        <v>36</v>
      </c>
      <c r="C115" s="27">
        <v>89652</v>
      </c>
      <c r="D115" s="18">
        <v>662354</v>
      </c>
    </row>
    <row r="116" spans="2:4" x14ac:dyDescent="0.25">
      <c r="B116" s="21" t="s">
        <v>36</v>
      </c>
      <c r="C116" s="27">
        <v>23365</v>
      </c>
      <c r="D116" s="18">
        <v>665522</v>
      </c>
    </row>
    <row r="117" spans="2:4" x14ac:dyDescent="0.25">
      <c r="B117" s="21" t="s">
        <v>36</v>
      </c>
      <c r="C117" s="27">
        <v>36985</v>
      </c>
      <c r="D117" s="22">
        <v>668523</v>
      </c>
    </row>
    <row r="118" spans="2:4" x14ac:dyDescent="0.25">
      <c r="B118" s="21" t="s">
        <v>36</v>
      </c>
      <c r="C118" s="27">
        <v>56635</v>
      </c>
      <c r="D118" s="18">
        <v>555441</v>
      </c>
    </row>
    <row r="119" spans="2:4" x14ac:dyDescent="0.25">
      <c r="B119" s="21" t="s">
        <v>37</v>
      </c>
      <c r="C119" s="27">
        <v>113456</v>
      </c>
      <c r="D119" s="18">
        <v>122000</v>
      </c>
    </row>
    <row r="120" spans="2:4" x14ac:dyDescent="0.25">
      <c r="B120" s="21" t="s">
        <v>37</v>
      </c>
      <c r="C120" s="27">
        <v>97654</v>
      </c>
      <c r="D120" s="18">
        <v>454545</v>
      </c>
    </row>
    <row r="121" spans="2:4" x14ac:dyDescent="0.25">
      <c r="B121" s="21" t="s">
        <v>37</v>
      </c>
      <c r="C121" s="27">
        <v>22234</v>
      </c>
      <c r="D121" s="18">
        <v>565544</v>
      </c>
    </row>
    <row r="122" spans="2:4" x14ac:dyDescent="0.25">
      <c r="B122" s="21" t="s">
        <v>37</v>
      </c>
      <c r="C122" s="27">
        <v>33456</v>
      </c>
      <c r="D122" s="18">
        <v>556441</v>
      </c>
    </row>
    <row r="123" spans="2:4" x14ac:dyDescent="0.25">
      <c r="B123" s="21" t="s">
        <v>37</v>
      </c>
      <c r="C123" s="27">
        <v>35872</v>
      </c>
      <c r="D123" s="18">
        <v>556544</v>
      </c>
    </row>
    <row r="124" spans="2:4" x14ac:dyDescent="0.25">
      <c r="B124" s="21" t="s">
        <v>37</v>
      </c>
      <c r="C124" s="27">
        <v>25893</v>
      </c>
      <c r="D124" s="18">
        <v>122533</v>
      </c>
    </row>
    <row r="125" spans="2:4" ht="15.75" thickBot="1" x14ac:dyDescent="0.3">
      <c r="B125" s="24" t="s">
        <v>37</v>
      </c>
      <c r="C125" s="29">
        <v>65891</v>
      </c>
      <c r="D125" s="25">
        <v>125221</v>
      </c>
    </row>
  </sheetData>
  <dataConsolidate function="count"/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0"/>
  <dimension ref="B9:I34"/>
  <sheetViews>
    <sheetView showGridLines="0" topLeftCell="A4" workbookViewId="0">
      <selection activeCell="B9" sqref="B9"/>
    </sheetView>
  </sheetViews>
  <sheetFormatPr defaultRowHeight="15" x14ac:dyDescent="0.25"/>
  <cols>
    <col min="1" max="1" width="2.28515625" customWidth="1"/>
    <col min="2" max="2" width="28.85546875" customWidth="1"/>
    <col min="3" max="3" width="12.140625" bestFit="1" customWidth="1"/>
    <col min="4" max="4" width="12.5703125" customWidth="1"/>
    <col min="5" max="5" width="12.42578125" customWidth="1"/>
    <col min="6" max="6" width="13" customWidth="1"/>
  </cols>
  <sheetData>
    <row r="9" spans="2:9" x14ac:dyDescent="0.25">
      <c r="B9" s="77" t="s">
        <v>101</v>
      </c>
      <c r="C9" s="78" t="s">
        <v>102</v>
      </c>
      <c r="D9" s="79" t="s">
        <v>103</v>
      </c>
      <c r="E9" s="79" t="s">
        <v>104</v>
      </c>
      <c r="F9" s="79" t="s">
        <v>105</v>
      </c>
    </row>
    <row r="10" spans="2:9" x14ac:dyDescent="0.25">
      <c r="B10" s="40" t="s">
        <v>50</v>
      </c>
      <c r="C10" s="67" t="s">
        <v>56</v>
      </c>
      <c r="D10" s="68">
        <v>456</v>
      </c>
      <c r="E10" s="69">
        <v>5534</v>
      </c>
      <c r="F10" s="69">
        <v>23432</v>
      </c>
    </row>
    <row r="11" spans="2:9" x14ac:dyDescent="0.25">
      <c r="B11" s="40" t="s">
        <v>60</v>
      </c>
      <c r="C11" s="67" t="s">
        <v>56</v>
      </c>
      <c r="D11" s="68">
        <v>333</v>
      </c>
      <c r="E11" s="69">
        <v>223</v>
      </c>
      <c r="F11" s="69">
        <v>432</v>
      </c>
    </row>
    <row r="12" spans="2:9" x14ac:dyDescent="0.25">
      <c r="B12" s="40" t="s">
        <v>61</v>
      </c>
      <c r="C12" s="67" t="s">
        <v>56</v>
      </c>
      <c r="D12" s="68">
        <v>3235</v>
      </c>
      <c r="E12" s="69">
        <v>2</v>
      </c>
      <c r="F12" s="69">
        <v>32</v>
      </c>
    </row>
    <row r="13" spans="2:9" x14ac:dyDescent="0.25">
      <c r="B13" s="40" t="s">
        <v>42</v>
      </c>
      <c r="C13" s="67" t="s">
        <v>56</v>
      </c>
      <c r="D13" s="68">
        <v>3456</v>
      </c>
      <c r="E13" s="69">
        <v>121</v>
      </c>
      <c r="F13" s="69">
        <v>32</v>
      </c>
    </row>
    <row r="14" spans="2:9" x14ac:dyDescent="0.25">
      <c r="B14" s="11" t="s">
        <v>51</v>
      </c>
      <c r="C14" s="67" t="s">
        <v>57</v>
      </c>
      <c r="D14" s="68">
        <v>1234</v>
      </c>
      <c r="E14" s="69">
        <v>5</v>
      </c>
      <c r="F14" s="69">
        <v>32</v>
      </c>
    </row>
    <row r="15" spans="2:9" x14ac:dyDescent="0.25">
      <c r="B15" s="40" t="s">
        <v>52</v>
      </c>
      <c r="C15" s="67" t="s">
        <v>57</v>
      </c>
      <c r="D15" s="68">
        <v>9876</v>
      </c>
      <c r="E15" s="69">
        <v>656</v>
      </c>
      <c r="F15" s="69">
        <v>32</v>
      </c>
    </row>
    <row r="16" spans="2:9" x14ac:dyDescent="0.25">
      <c r="B16" s="40" t="s">
        <v>43</v>
      </c>
      <c r="C16" s="67" t="s">
        <v>56</v>
      </c>
      <c r="D16" s="68">
        <v>4656</v>
      </c>
      <c r="E16" s="69">
        <v>4</v>
      </c>
      <c r="F16" s="69">
        <v>1234</v>
      </c>
      <c r="G16" s="65"/>
      <c r="H16" s="65"/>
      <c r="I16" s="65"/>
    </row>
    <row r="17" spans="2:9" x14ac:dyDescent="0.25">
      <c r="B17" s="40" t="s">
        <v>44</v>
      </c>
      <c r="C17" s="67" t="s">
        <v>56</v>
      </c>
      <c r="D17" s="68">
        <v>4332</v>
      </c>
      <c r="E17" s="69">
        <v>5</v>
      </c>
      <c r="F17" s="69">
        <v>453</v>
      </c>
      <c r="G17" s="65"/>
      <c r="H17" s="65"/>
      <c r="I17" s="65"/>
    </row>
    <row r="18" spans="2:9" x14ac:dyDescent="0.25">
      <c r="B18" s="40" t="s">
        <v>63</v>
      </c>
      <c r="C18" s="67" t="s">
        <v>56</v>
      </c>
      <c r="D18" s="68">
        <v>455</v>
      </c>
      <c r="E18" s="69">
        <v>4</v>
      </c>
      <c r="F18" s="69">
        <v>24</v>
      </c>
      <c r="G18" s="65"/>
      <c r="H18" s="65"/>
      <c r="I18" s="65"/>
    </row>
    <row r="19" spans="2:9" x14ac:dyDescent="0.25">
      <c r="B19" s="40" t="s">
        <v>45</v>
      </c>
      <c r="C19" s="67" t="s">
        <v>56</v>
      </c>
      <c r="D19" s="68">
        <v>21</v>
      </c>
      <c r="E19" s="69">
        <v>54</v>
      </c>
      <c r="F19" s="69">
        <v>543</v>
      </c>
      <c r="G19" s="65"/>
      <c r="H19" s="65"/>
      <c r="I19" s="65"/>
    </row>
    <row r="20" spans="2:9" x14ac:dyDescent="0.25">
      <c r="B20" s="40" t="s">
        <v>46</v>
      </c>
      <c r="C20" s="67" t="s">
        <v>56</v>
      </c>
      <c r="D20" s="68">
        <v>234</v>
      </c>
      <c r="E20" s="69">
        <v>5</v>
      </c>
      <c r="F20" s="69">
        <v>543</v>
      </c>
      <c r="G20" s="65"/>
      <c r="H20" s="65"/>
      <c r="I20" s="65"/>
    </row>
    <row r="21" spans="2:9" x14ac:dyDescent="0.25">
      <c r="B21" s="40" t="s">
        <v>47</v>
      </c>
      <c r="C21" s="67" t="s">
        <v>56</v>
      </c>
      <c r="D21" s="68">
        <v>2456</v>
      </c>
      <c r="E21" s="69">
        <v>5</v>
      </c>
      <c r="F21" s="69">
        <v>667</v>
      </c>
      <c r="G21" s="65"/>
      <c r="H21" s="65"/>
      <c r="I21" s="65"/>
    </row>
    <row r="22" spans="2:9" x14ac:dyDescent="0.25">
      <c r="B22" s="40" t="s">
        <v>48</v>
      </c>
      <c r="C22" s="67" t="s">
        <v>58</v>
      </c>
      <c r="D22" s="68">
        <v>322</v>
      </c>
      <c r="E22" s="69">
        <v>6</v>
      </c>
      <c r="F22" s="69">
        <v>4346</v>
      </c>
      <c r="G22" s="65"/>
      <c r="H22" s="65"/>
      <c r="I22" s="65"/>
    </row>
    <row r="23" spans="2:9" x14ac:dyDescent="0.25">
      <c r="B23" s="11" t="s">
        <v>64</v>
      </c>
      <c r="C23" s="67" t="s">
        <v>57</v>
      </c>
      <c r="D23" s="68">
        <v>122</v>
      </c>
      <c r="E23" s="69">
        <v>78</v>
      </c>
      <c r="F23" s="69">
        <v>3322</v>
      </c>
      <c r="G23" s="65"/>
      <c r="H23" s="65"/>
      <c r="I23" s="65"/>
    </row>
    <row r="24" spans="2:9" x14ac:dyDescent="0.25">
      <c r="B24" s="65"/>
      <c r="C24" s="63"/>
      <c r="D24" s="64"/>
      <c r="E24" s="65"/>
      <c r="F24" s="65"/>
      <c r="G24" s="65"/>
      <c r="H24" s="65"/>
      <c r="I24" s="65"/>
    </row>
    <row r="25" spans="2:9" x14ac:dyDescent="0.25">
      <c r="B25" s="62"/>
      <c r="C25" s="63"/>
      <c r="D25" s="64"/>
      <c r="E25" s="65"/>
      <c r="F25" s="65"/>
      <c r="G25" s="65"/>
      <c r="H25" s="65"/>
      <c r="I25" s="65"/>
    </row>
    <row r="26" spans="2:9" x14ac:dyDescent="0.25">
      <c r="B26" s="62"/>
      <c r="C26" s="63"/>
      <c r="D26" s="64"/>
      <c r="E26" s="65"/>
      <c r="F26" s="65"/>
      <c r="G26" s="65"/>
      <c r="H26" s="65"/>
      <c r="I26" s="65"/>
    </row>
    <row r="27" spans="2:9" x14ac:dyDescent="0.25">
      <c r="B27" s="62"/>
      <c r="C27" s="63"/>
      <c r="D27" s="64"/>
      <c r="E27" s="65"/>
      <c r="F27" s="65"/>
      <c r="G27" s="65"/>
      <c r="H27" s="65"/>
      <c r="I27" s="65"/>
    </row>
    <row r="28" spans="2:9" x14ac:dyDescent="0.25">
      <c r="B28" s="62"/>
      <c r="C28" s="63"/>
      <c r="D28" s="64"/>
      <c r="E28" s="65"/>
      <c r="F28" s="65"/>
      <c r="G28" s="65"/>
      <c r="H28" s="65"/>
      <c r="I28" s="65"/>
    </row>
    <row r="29" spans="2:9" x14ac:dyDescent="0.25">
      <c r="B29" s="65"/>
      <c r="C29" s="66"/>
      <c r="D29" s="64"/>
      <c r="E29" s="65"/>
      <c r="F29" s="65"/>
      <c r="G29" s="65"/>
      <c r="H29" s="65"/>
      <c r="I29" s="65"/>
    </row>
    <row r="30" spans="2:9" x14ac:dyDescent="0.25">
      <c r="B30" s="65"/>
      <c r="C30" s="66"/>
      <c r="D30" s="64"/>
      <c r="E30" s="65"/>
      <c r="F30" s="65"/>
      <c r="G30" s="65"/>
      <c r="H30" s="65"/>
      <c r="I30" s="65"/>
    </row>
    <row r="31" spans="2:9" x14ac:dyDescent="0.25">
      <c r="B31" s="65"/>
      <c r="C31" s="66"/>
      <c r="D31" s="64"/>
      <c r="E31" s="65"/>
      <c r="F31" s="65"/>
      <c r="G31" s="65"/>
      <c r="H31" s="65"/>
      <c r="I31" s="65"/>
    </row>
    <row r="32" spans="2:9" x14ac:dyDescent="0.25">
      <c r="B32" s="65"/>
      <c r="C32" s="66"/>
      <c r="D32" s="64"/>
      <c r="E32" s="65"/>
      <c r="F32" s="65"/>
      <c r="G32" s="65"/>
      <c r="H32" s="65"/>
      <c r="I32" s="65"/>
    </row>
    <row r="33" spans="2:9" x14ac:dyDescent="0.25">
      <c r="B33" s="65"/>
      <c r="C33" s="66"/>
      <c r="D33" s="64"/>
      <c r="E33" s="65"/>
      <c r="F33" s="65"/>
      <c r="G33" s="65"/>
      <c r="H33" s="65"/>
      <c r="I33" s="65"/>
    </row>
    <row r="34" spans="2:9" x14ac:dyDescent="0.25">
      <c r="B34" s="65"/>
      <c r="C34" s="66"/>
      <c r="D34" s="64"/>
      <c r="E34" s="65"/>
      <c r="F34" s="65"/>
      <c r="G34" s="65"/>
      <c r="H34" s="65"/>
      <c r="I34" s="65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B1:L22"/>
  <sheetViews>
    <sheetView showGridLines="0" workbookViewId="0">
      <selection activeCell="O12" sqref="O12"/>
    </sheetView>
  </sheetViews>
  <sheetFormatPr defaultRowHeight="15" x14ac:dyDescent="0.25"/>
  <cols>
    <col min="1" max="1" width="4.7109375" customWidth="1"/>
    <col min="2" max="2" width="8.28515625" customWidth="1"/>
    <col min="3" max="3" width="26.5703125" customWidth="1"/>
    <col min="4" max="4" width="4" customWidth="1"/>
    <col min="5" max="5" width="7.5703125" customWidth="1"/>
    <col min="6" max="6" width="27.5703125" customWidth="1"/>
    <col min="7" max="7" width="4" customWidth="1"/>
    <col min="8" max="8" width="23.28515625" customWidth="1"/>
  </cols>
  <sheetData>
    <row r="1" spans="2:12" ht="13.5" customHeight="1" x14ac:dyDescent="0.25"/>
    <row r="3" spans="2:12" x14ac:dyDescent="0.25">
      <c r="G3" s="56" t="s">
        <v>87</v>
      </c>
      <c r="H3" s="46"/>
      <c r="I3" s="46"/>
      <c r="J3" s="46"/>
    </row>
    <row r="4" spans="2:12" x14ac:dyDescent="0.25">
      <c r="C4" s="71"/>
      <c r="G4" s="56" t="s">
        <v>88</v>
      </c>
      <c r="H4" s="46"/>
      <c r="I4" s="46"/>
      <c r="J4" s="46"/>
    </row>
    <row r="5" spans="2:12" x14ac:dyDescent="0.25">
      <c r="G5" s="56" t="s">
        <v>89</v>
      </c>
      <c r="H5" s="46"/>
      <c r="I5" s="46"/>
      <c r="J5" s="46"/>
    </row>
    <row r="7" spans="2:12" ht="27.75" customHeight="1" thickBot="1" x14ac:dyDescent="0.3"/>
    <row r="8" spans="2:12" ht="15.75" hidden="1" thickBot="1" x14ac:dyDescent="0.3"/>
    <row r="9" spans="2:12" ht="15.75" thickBot="1" x14ac:dyDescent="0.3">
      <c r="B9" s="180" t="s">
        <v>71</v>
      </c>
      <c r="C9" s="181"/>
      <c r="D9" s="45"/>
      <c r="E9" s="180" t="s">
        <v>90</v>
      </c>
      <c r="F9" s="181"/>
      <c r="G9" s="46"/>
      <c r="H9" s="72" t="s">
        <v>72</v>
      </c>
    </row>
    <row r="10" spans="2:12" x14ac:dyDescent="0.25">
      <c r="B10" s="100" t="s">
        <v>73</v>
      </c>
      <c r="C10" s="101" t="s">
        <v>74</v>
      </c>
      <c r="D10" s="47"/>
      <c r="E10" s="100" t="s">
        <v>73</v>
      </c>
      <c r="F10" s="101" t="s">
        <v>74</v>
      </c>
      <c r="G10" s="46"/>
      <c r="H10" s="102" t="s">
        <v>21</v>
      </c>
    </row>
    <row r="11" spans="2:12" x14ac:dyDescent="0.25">
      <c r="B11" s="48" t="s">
        <v>75</v>
      </c>
      <c r="C11" s="49">
        <v>45678</v>
      </c>
      <c r="D11" s="46"/>
      <c r="E11" s="48" t="s">
        <v>75</v>
      </c>
      <c r="F11" s="49">
        <v>49876</v>
      </c>
      <c r="G11" s="50"/>
      <c r="H11" s="51">
        <v>65000</v>
      </c>
    </row>
    <row r="12" spans="2:12" x14ac:dyDescent="0.25">
      <c r="B12" s="48" t="s">
        <v>76</v>
      </c>
      <c r="C12" s="52">
        <v>66534</v>
      </c>
      <c r="D12" s="46"/>
      <c r="E12" s="48" t="s">
        <v>76</v>
      </c>
      <c r="F12" s="52">
        <v>59043</v>
      </c>
      <c r="G12" s="50"/>
      <c r="H12" s="51">
        <v>45000</v>
      </c>
      <c r="L12" s="73"/>
    </row>
    <row r="13" spans="2:12" x14ac:dyDescent="0.25">
      <c r="B13" s="48" t="s">
        <v>77</v>
      </c>
      <c r="C13" s="52">
        <v>49876</v>
      </c>
      <c r="D13" s="46"/>
      <c r="E13" s="48" t="s">
        <v>77</v>
      </c>
      <c r="F13" s="52">
        <v>53456</v>
      </c>
      <c r="G13" s="50"/>
      <c r="H13" s="51">
        <v>40000</v>
      </c>
    </row>
    <row r="14" spans="2:12" x14ac:dyDescent="0.25">
      <c r="B14" s="48" t="s">
        <v>78</v>
      </c>
      <c r="C14" s="52">
        <v>25678</v>
      </c>
      <c r="D14" s="46"/>
      <c r="E14" s="48" t="s">
        <v>78</v>
      </c>
      <c r="F14" s="52">
        <v>34599</v>
      </c>
      <c r="G14" s="50"/>
      <c r="H14" s="51">
        <v>40000</v>
      </c>
    </row>
    <row r="15" spans="2:12" x14ac:dyDescent="0.25">
      <c r="B15" s="48" t="s">
        <v>79</v>
      </c>
      <c r="C15" s="52">
        <v>12253</v>
      </c>
      <c r="D15" s="46"/>
      <c r="E15" s="48" t="s">
        <v>79</v>
      </c>
      <c r="F15" s="52">
        <v>17234</v>
      </c>
      <c r="G15" s="46"/>
      <c r="H15" s="51">
        <v>30000</v>
      </c>
    </row>
    <row r="16" spans="2:12" x14ac:dyDescent="0.25">
      <c r="B16" s="48" t="s">
        <v>80</v>
      </c>
      <c r="C16" s="52">
        <v>19854</v>
      </c>
      <c r="D16" s="46"/>
      <c r="E16" s="48" t="s">
        <v>80</v>
      </c>
      <c r="F16" s="52">
        <v>28903</v>
      </c>
      <c r="G16" s="46"/>
      <c r="H16" s="51">
        <v>25000</v>
      </c>
    </row>
    <row r="17" spans="2:8" x14ac:dyDescent="0.25">
      <c r="B17" s="48" t="s">
        <v>81</v>
      </c>
      <c r="C17" s="52">
        <v>76543</v>
      </c>
      <c r="D17" s="46"/>
      <c r="E17" s="48" t="s">
        <v>81</v>
      </c>
      <c r="F17" s="52">
        <v>66321</v>
      </c>
      <c r="G17" s="46"/>
      <c r="H17" s="51">
        <v>60000</v>
      </c>
    </row>
    <row r="18" spans="2:8" x14ac:dyDescent="0.25">
      <c r="B18" s="48" t="s">
        <v>82</v>
      </c>
      <c r="C18" s="52">
        <v>45329</v>
      </c>
      <c r="D18" s="46"/>
      <c r="E18" s="48" t="s">
        <v>82</v>
      </c>
      <c r="F18" s="52">
        <v>43234</v>
      </c>
      <c r="G18" s="46"/>
      <c r="H18" s="51">
        <v>35000</v>
      </c>
    </row>
    <row r="19" spans="2:8" x14ac:dyDescent="0.25">
      <c r="B19" s="48" t="s">
        <v>83</v>
      </c>
      <c r="C19" s="52">
        <v>99876</v>
      </c>
      <c r="D19" s="46"/>
      <c r="E19" s="48" t="s">
        <v>83</v>
      </c>
      <c r="F19" s="52">
        <v>87654</v>
      </c>
      <c r="G19" s="46"/>
      <c r="H19" s="51">
        <v>80000</v>
      </c>
    </row>
    <row r="20" spans="2:8" x14ac:dyDescent="0.25">
      <c r="B20" s="48" t="s">
        <v>84</v>
      </c>
      <c r="C20" s="52">
        <v>66543</v>
      </c>
      <c r="D20" s="46"/>
      <c r="E20" s="48" t="s">
        <v>84</v>
      </c>
      <c r="F20" s="52">
        <v>74987</v>
      </c>
      <c r="G20" s="46"/>
      <c r="H20" s="51">
        <v>80000</v>
      </c>
    </row>
    <row r="21" spans="2:8" x14ac:dyDescent="0.25">
      <c r="B21" s="48" t="s">
        <v>85</v>
      </c>
      <c r="C21" s="52">
        <v>124345</v>
      </c>
      <c r="D21" s="46"/>
      <c r="E21" s="48" t="s">
        <v>85</v>
      </c>
      <c r="F21" s="52">
        <v>144567</v>
      </c>
      <c r="G21" s="46"/>
      <c r="H21" s="51">
        <v>150000</v>
      </c>
    </row>
    <row r="22" spans="2:8" ht="15.75" thickBot="1" x14ac:dyDescent="0.3">
      <c r="B22" s="53" t="s">
        <v>86</v>
      </c>
      <c r="C22" s="54">
        <v>189773</v>
      </c>
      <c r="D22" s="46"/>
      <c r="E22" s="53" t="s">
        <v>86</v>
      </c>
      <c r="F22" s="54">
        <v>175876</v>
      </c>
      <c r="G22" s="46"/>
      <c r="H22" s="55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B7:Q34"/>
  <sheetViews>
    <sheetView showGridLines="0" workbookViewId="0">
      <selection activeCell="B8" sqref="B8"/>
    </sheetView>
  </sheetViews>
  <sheetFormatPr defaultRowHeight="15" x14ac:dyDescent="0.25"/>
  <cols>
    <col min="1" max="1" width="4.42578125" customWidth="1"/>
    <col min="2" max="2" width="13.28515625" customWidth="1"/>
    <col min="3" max="3" width="30.5703125" customWidth="1"/>
    <col min="4" max="4" width="14.42578125" customWidth="1"/>
    <col min="5" max="5" width="14" customWidth="1"/>
    <col min="6" max="6" width="3.140625" customWidth="1"/>
    <col min="7" max="7" width="12" bestFit="1" customWidth="1"/>
    <col min="8" max="8" width="31.140625" bestFit="1" customWidth="1"/>
    <col min="9" max="9" width="57.7109375" customWidth="1"/>
    <col min="10" max="10" width="18.5703125" customWidth="1"/>
    <col min="11" max="11" width="58.5703125" customWidth="1"/>
    <col min="12" max="12" width="21.42578125" customWidth="1"/>
    <col min="13" max="14" width="16.42578125" customWidth="1"/>
    <col min="15" max="15" width="21.85546875" customWidth="1"/>
    <col min="16" max="16" width="14.42578125" customWidth="1"/>
    <col min="17" max="17" width="14" customWidth="1"/>
  </cols>
  <sheetData>
    <row r="7" spans="2:17" ht="15.75" thickBot="1" x14ac:dyDescent="0.3"/>
    <row r="8" spans="2:17" ht="32.25" customHeight="1" x14ac:dyDescent="0.25">
      <c r="B8" s="74" t="s">
        <v>41</v>
      </c>
      <c r="C8" s="75" t="s">
        <v>14</v>
      </c>
      <c r="D8" s="75" t="s">
        <v>17</v>
      </c>
      <c r="E8" s="76" t="s">
        <v>15</v>
      </c>
      <c r="G8" s="74" t="s">
        <v>124</v>
      </c>
      <c r="H8" s="75" t="s">
        <v>117</v>
      </c>
      <c r="I8" s="75" t="s">
        <v>118</v>
      </c>
      <c r="J8" s="76" t="s">
        <v>119</v>
      </c>
      <c r="K8" s="76" t="s">
        <v>120</v>
      </c>
      <c r="L8" s="76" t="s">
        <v>121</v>
      </c>
      <c r="M8" s="103" t="s">
        <v>123</v>
      </c>
      <c r="N8" s="103" t="s">
        <v>129</v>
      </c>
      <c r="O8" s="76" t="s">
        <v>122</v>
      </c>
      <c r="P8" s="103" t="s">
        <v>125</v>
      </c>
      <c r="Q8" s="103" t="s">
        <v>126</v>
      </c>
    </row>
    <row r="9" spans="2:17" ht="15.95" customHeight="1" x14ac:dyDescent="0.25">
      <c r="B9" s="39">
        <v>2000</v>
      </c>
      <c r="C9" s="40" t="s">
        <v>50</v>
      </c>
      <c r="D9" s="42">
        <v>65</v>
      </c>
      <c r="E9" s="12" t="s">
        <v>56</v>
      </c>
      <c r="G9" s="39"/>
      <c r="H9" s="40"/>
      <c r="I9" s="42"/>
      <c r="J9" s="12"/>
      <c r="K9" s="12"/>
      <c r="L9" s="12"/>
      <c r="M9" s="104"/>
      <c r="N9" s="104"/>
      <c r="O9" s="107"/>
      <c r="P9" s="105"/>
      <c r="Q9" s="106"/>
    </row>
    <row r="10" spans="2:17" ht="15.95" customHeight="1" x14ac:dyDescent="0.25">
      <c r="B10" s="39">
        <v>2001</v>
      </c>
      <c r="C10" s="40" t="s">
        <v>60</v>
      </c>
      <c r="D10" s="42">
        <v>399</v>
      </c>
      <c r="E10" s="12" t="s">
        <v>56</v>
      </c>
      <c r="G10" s="39"/>
      <c r="H10" s="40"/>
      <c r="I10" s="42"/>
      <c r="J10" s="12"/>
      <c r="K10" s="12"/>
      <c r="L10" s="12"/>
      <c r="M10" s="12"/>
      <c r="N10" s="12"/>
      <c r="O10" s="107"/>
      <c r="P10" s="105"/>
      <c r="Q10" s="106"/>
    </row>
    <row r="11" spans="2:17" ht="15.95" customHeight="1" x14ac:dyDescent="0.25">
      <c r="B11" s="39">
        <v>2002</v>
      </c>
      <c r="C11" s="40" t="s">
        <v>61</v>
      </c>
      <c r="D11" s="42">
        <v>1890</v>
      </c>
      <c r="E11" s="12" t="s">
        <v>56</v>
      </c>
      <c r="G11" s="39"/>
      <c r="H11" s="40"/>
      <c r="I11" s="42"/>
      <c r="J11" s="12"/>
      <c r="K11" s="12"/>
      <c r="L11" s="12"/>
      <c r="M11" s="12"/>
      <c r="N11" s="12"/>
      <c r="O11" s="107"/>
      <c r="P11" s="105"/>
      <c r="Q11" s="106"/>
    </row>
    <row r="12" spans="2:17" ht="15.95" customHeight="1" x14ac:dyDescent="0.25">
      <c r="B12" s="39">
        <v>2003</v>
      </c>
      <c r="C12" s="40" t="s">
        <v>42</v>
      </c>
      <c r="D12" s="42">
        <v>550</v>
      </c>
      <c r="E12" s="12" t="s">
        <v>56</v>
      </c>
      <c r="G12" s="39"/>
      <c r="H12" s="40"/>
      <c r="I12" s="42"/>
      <c r="J12" s="12"/>
      <c r="K12" s="12"/>
      <c r="L12" s="12"/>
      <c r="M12" s="12"/>
      <c r="N12" s="12"/>
      <c r="O12" s="107"/>
      <c r="P12" s="105"/>
      <c r="Q12" s="106"/>
    </row>
    <row r="13" spans="2:17" ht="15.95" customHeight="1" x14ac:dyDescent="0.25">
      <c r="B13" s="39">
        <v>2004</v>
      </c>
      <c r="C13" s="11" t="s">
        <v>51</v>
      </c>
      <c r="D13" s="42">
        <v>1499</v>
      </c>
      <c r="E13" s="12" t="s">
        <v>57</v>
      </c>
      <c r="G13" s="39"/>
      <c r="H13" s="11"/>
      <c r="I13" s="42"/>
      <c r="J13" s="12"/>
      <c r="K13" s="12"/>
      <c r="L13" s="12"/>
      <c r="M13" s="12"/>
      <c r="N13" s="12"/>
      <c r="O13" s="107"/>
      <c r="P13" s="105"/>
      <c r="Q13" s="106"/>
    </row>
    <row r="14" spans="2:17" ht="15.95" customHeight="1" x14ac:dyDescent="0.25">
      <c r="B14" s="39">
        <v>2005</v>
      </c>
      <c r="C14" s="40" t="s">
        <v>52</v>
      </c>
      <c r="D14" s="42">
        <v>125</v>
      </c>
      <c r="E14" s="12" t="s">
        <v>57</v>
      </c>
      <c r="G14" s="39"/>
      <c r="H14" s="40"/>
      <c r="I14" s="42"/>
      <c r="J14" s="12"/>
      <c r="K14" s="12"/>
      <c r="L14" s="12"/>
      <c r="M14" s="12"/>
      <c r="N14" s="12"/>
      <c r="O14" s="107"/>
      <c r="P14" s="105"/>
      <c r="Q14" s="106"/>
    </row>
    <row r="15" spans="2:17" ht="15.95" customHeight="1" x14ac:dyDescent="0.25">
      <c r="B15" s="39">
        <v>2006</v>
      </c>
      <c r="C15" s="40" t="s">
        <v>43</v>
      </c>
      <c r="D15" s="42">
        <v>29</v>
      </c>
      <c r="E15" s="12" t="s">
        <v>56</v>
      </c>
      <c r="G15" s="39"/>
      <c r="H15" s="40"/>
      <c r="I15" s="42"/>
      <c r="J15" s="12"/>
      <c r="K15" s="12"/>
      <c r="L15" s="12"/>
      <c r="M15" s="12"/>
      <c r="N15" s="12"/>
      <c r="O15" s="107"/>
      <c r="P15" s="105"/>
      <c r="Q15" s="106"/>
    </row>
    <row r="16" spans="2:17" ht="15.95" customHeight="1" x14ac:dyDescent="0.25">
      <c r="B16" s="39">
        <v>2007</v>
      </c>
      <c r="C16" s="40" t="s">
        <v>44</v>
      </c>
      <c r="D16" s="42">
        <v>3120</v>
      </c>
      <c r="E16" s="12" t="s">
        <v>56</v>
      </c>
      <c r="G16" s="39"/>
      <c r="H16" s="40"/>
      <c r="I16" s="42"/>
      <c r="J16" s="12"/>
      <c r="K16" s="12"/>
      <c r="L16" s="12"/>
      <c r="M16" s="12"/>
      <c r="N16" s="12"/>
      <c r="O16" s="107"/>
      <c r="P16" s="12"/>
      <c r="Q16" s="12"/>
    </row>
    <row r="17" spans="2:17" ht="15.95" customHeight="1" x14ac:dyDescent="0.25">
      <c r="B17" s="39">
        <v>2008</v>
      </c>
      <c r="C17" s="40" t="s">
        <v>63</v>
      </c>
      <c r="D17" s="42">
        <v>145</v>
      </c>
      <c r="E17" s="12" t="s">
        <v>56</v>
      </c>
      <c r="G17" s="39"/>
      <c r="H17" s="40"/>
      <c r="I17" s="42"/>
      <c r="J17" s="12"/>
      <c r="K17" s="12"/>
      <c r="L17" s="12"/>
      <c r="M17" s="12"/>
      <c r="N17" s="12"/>
      <c r="O17" s="107"/>
      <c r="P17" s="12"/>
      <c r="Q17" s="12"/>
    </row>
    <row r="18" spans="2:17" ht="15.95" customHeight="1" x14ac:dyDescent="0.25">
      <c r="B18" s="39">
        <v>2009</v>
      </c>
      <c r="C18" s="40" t="s">
        <v>45</v>
      </c>
      <c r="D18" s="42">
        <v>120</v>
      </c>
      <c r="E18" s="12" t="s">
        <v>56</v>
      </c>
      <c r="G18" s="39"/>
      <c r="H18" s="40"/>
      <c r="I18" s="42"/>
      <c r="J18" s="12"/>
      <c r="K18" s="12"/>
      <c r="L18" s="12"/>
      <c r="M18" s="12"/>
      <c r="N18" s="12"/>
      <c r="O18" s="107"/>
      <c r="P18" s="12"/>
      <c r="Q18" s="12"/>
    </row>
    <row r="19" spans="2:17" ht="15.95" customHeight="1" x14ac:dyDescent="0.25">
      <c r="B19" s="39">
        <v>2010</v>
      </c>
      <c r="C19" s="40" t="s">
        <v>46</v>
      </c>
      <c r="D19" s="42">
        <v>98</v>
      </c>
      <c r="E19" s="12" t="s">
        <v>56</v>
      </c>
      <c r="G19" s="39"/>
      <c r="H19" s="40"/>
      <c r="I19" s="42"/>
      <c r="J19" s="12"/>
      <c r="K19" s="12"/>
      <c r="L19" s="12"/>
      <c r="M19" s="12"/>
      <c r="N19" s="12"/>
      <c r="O19" s="107"/>
      <c r="P19" s="12"/>
      <c r="Q19" s="12"/>
    </row>
    <row r="20" spans="2:17" ht="15.95" customHeight="1" x14ac:dyDescent="0.25">
      <c r="B20" s="39">
        <v>2011</v>
      </c>
      <c r="C20" s="40" t="s">
        <v>47</v>
      </c>
      <c r="D20" s="42">
        <v>35</v>
      </c>
      <c r="E20" s="12" t="s">
        <v>56</v>
      </c>
      <c r="G20" s="39"/>
      <c r="H20" s="40"/>
      <c r="I20" s="42"/>
      <c r="J20" s="12"/>
      <c r="K20" s="12"/>
      <c r="L20" s="12"/>
      <c r="M20" s="12"/>
      <c r="N20" s="12"/>
      <c r="O20" s="107"/>
      <c r="P20" s="12"/>
      <c r="Q20" s="12"/>
    </row>
    <row r="21" spans="2:17" ht="15.95" customHeight="1" x14ac:dyDescent="0.25">
      <c r="B21" s="39">
        <v>2012</v>
      </c>
      <c r="C21" s="40" t="s">
        <v>48</v>
      </c>
      <c r="D21" s="42">
        <v>235</v>
      </c>
      <c r="E21" s="12" t="s">
        <v>58</v>
      </c>
      <c r="G21" s="39"/>
      <c r="H21" s="40"/>
      <c r="I21" s="42"/>
      <c r="J21" s="12"/>
      <c r="K21" s="12"/>
      <c r="L21" s="12"/>
      <c r="M21" s="12"/>
      <c r="N21" s="12"/>
      <c r="O21" s="107"/>
      <c r="P21" s="12"/>
      <c r="Q21" s="12"/>
    </row>
    <row r="22" spans="2:17" ht="15.95" customHeight="1" x14ac:dyDescent="0.25">
      <c r="B22" s="39">
        <v>2013</v>
      </c>
      <c r="C22" t="s">
        <v>64</v>
      </c>
      <c r="D22" s="42">
        <v>12</v>
      </c>
      <c r="E22" s="12" t="s">
        <v>57</v>
      </c>
      <c r="G22" s="39"/>
      <c r="I22" s="42"/>
      <c r="J22" s="12"/>
      <c r="K22" s="12"/>
      <c r="L22" s="12"/>
      <c r="M22" s="12"/>
      <c r="N22" s="12"/>
      <c r="O22" s="107"/>
      <c r="P22" s="12"/>
      <c r="Q22" s="12"/>
    </row>
    <row r="23" spans="2:17" ht="15.95" customHeight="1" x14ac:dyDescent="0.25">
      <c r="B23" s="39">
        <v>2014</v>
      </c>
      <c r="C23" s="40" t="s">
        <v>54</v>
      </c>
      <c r="D23" s="42">
        <v>3190</v>
      </c>
      <c r="E23" s="12" t="s">
        <v>58</v>
      </c>
      <c r="G23" s="39"/>
      <c r="H23" s="40"/>
      <c r="I23" s="42"/>
      <c r="J23" s="12"/>
      <c r="K23" s="12"/>
      <c r="L23" s="12"/>
      <c r="M23" s="12"/>
      <c r="N23" s="12"/>
      <c r="O23" s="107"/>
      <c r="P23" s="12"/>
      <c r="Q23" s="12"/>
    </row>
    <row r="24" spans="2:17" ht="15.95" customHeight="1" x14ac:dyDescent="0.25">
      <c r="B24" s="39">
        <v>2015</v>
      </c>
      <c r="C24" s="11" t="s">
        <v>59</v>
      </c>
      <c r="D24" s="42">
        <v>632</v>
      </c>
      <c r="E24" s="12" t="s">
        <v>58</v>
      </c>
      <c r="G24" s="39"/>
      <c r="H24" s="11"/>
      <c r="I24" s="42"/>
      <c r="J24" s="12"/>
      <c r="K24" s="12"/>
      <c r="L24" s="12"/>
      <c r="M24" s="12"/>
      <c r="N24" s="12"/>
      <c r="O24" s="107"/>
      <c r="P24" s="12"/>
      <c r="Q24" s="12"/>
    </row>
    <row r="25" spans="2:17" ht="15.95" customHeight="1" x14ac:dyDescent="0.25">
      <c r="B25" s="39">
        <v>2016</v>
      </c>
      <c r="C25" s="40" t="s">
        <v>55</v>
      </c>
      <c r="D25" s="42">
        <v>587</v>
      </c>
      <c r="E25" s="12" t="s">
        <v>58</v>
      </c>
      <c r="G25" s="39"/>
      <c r="H25" s="40"/>
      <c r="I25" s="42"/>
      <c r="J25" s="12"/>
      <c r="K25" s="12"/>
      <c r="L25" s="12"/>
      <c r="M25" s="12"/>
      <c r="N25" s="12"/>
      <c r="O25" s="107"/>
      <c r="P25" s="12"/>
      <c r="Q25" s="12"/>
    </row>
    <row r="26" spans="2:17" ht="15.95" customHeight="1" x14ac:dyDescent="0.25">
      <c r="B26" s="39">
        <v>2017</v>
      </c>
      <c r="C26" s="40" t="s">
        <v>53</v>
      </c>
      <c r="D26" s="42">
        <v>899</v>
      </c>
      <c r="E26" s="12" t="s">
        <v>57</v>
      </c>
      <c r="G26" s="39"/>
      <c r="H26" s="40"/>
      <c r="I26" s="42"/>
      <c r="J26" s="12"/>
      <c r="K26" s="12"/>
      <c r="L26" s="12"/>
      <c r="M26" s="12"/>
      <c r="N26" s="12"/>
      <c r="O26" s="107"/>
      <c r="P26" s="12"/>
      <c r="Q26" s="12"/>
    </row>
    <row r="27" spans="2:17" ht="15.95" customHeight="1" x14ac:dyDescent="0.25">
      <c r="B27" s="39">
        <v>2018</v>
      </c>
      <c r="C27" s="40" t="s">
        <v>62</v>
      </c>
      <c r="D27" s="42">
        <v>190</v>
      </c>
      <c r="E27" s="12" t="s">
        <v>58</v>
      </c>
      <c r="G27" s="39"/>
      <c r="H27" s="40"/>
      <c r="I27" s="42"/>
      <c r="J27" s="12"/>
      <c r="K27" s="12"/>
      <c r="L27" s="12"/>
      <c r="M27" s="12"/>
      <c r="N27" s="12"/>
      <c r="O27" s="107"/>
      <c r="P27" s="12"/>
      <c r="Q27" s="12"/>
    </row>
    <row r="28" spans="2:17" ht="15.95" customHeight="1" x14ac:dyDescent="0.25">
      <c r="B28" s="39">
        <v>2019</v>
      </c>
      <c r="C28" s="40" t="s">
        <v>49</v>
      </c>
      <c r="D28" s="42">
        <v>115</v>
      </c>
      <c r="E28" s="12" t="s">
        <v>56</v>
      </c>
      <c r="G28" s="39"/>
      <c r="H28" s="40"/>
      <c r="I28" s="42"/>
      <c r="J28" s="12"/>
      <c r="K28" s="12"/>
      <c r="L28" s="12"/>
      <c r="M28" s="12"/>
      <c r="N28" s="12"/>
      <c r="O28" s="107"/>
      <c r="P28" s="12"/>
      <c r="Q28" s="12"/>
    </row>
    <row r="29" spans="2:17" ht="15.95" customHeight="1" x14ac:dyDescent="0.25">
      <c r="B29" s="39">
        <v>2020</v>
      </c>
      <c r="C29" s="11" t="s">
        <v>65</v>
      </c>
      <c r="D29" s="43">
        <v>15</v>
      </c>
      <c r="E29" s="12" t="s">
        <v>57</v>
      </c>
      <c r="G29" s="39"/>
      <c r="H29" s="11"/>
      <c r="I29" s="43"/>
      <c r="J29" s="12"/>
      <c r="K29" s="12"/>
      <c r="L29" s="12"/>
      <c r="M29" s="12"/>
      <c r="N29" s="12"/>
      <c r="O29" s="107"/>
      <c r="P29" s="12"/>
      <c r="Q29" s="12"/>
    </row>
    <row r="30" spans="2:17" ht="15.95" customHeight="1" x14ac:dyDescent="0.25">
      <c r="B30" s="39">
        <v>2021</v>
      </c>
      <c r="C30" s="11" t="s">
        <v>66</v>
      </c>
      <c r="D30" s="43">
        <v>10</v>
      </c>
      <c r="E30" s="12" t="s">
        <v>57</v>
      </c>
      <c r="G30" s="39"/>
      <c r="H30" s="11"/>
      <c r="I30" s="43"/>
      <c r="J30" s="12"/>
      <c r="K30" s="12"/>
      <c r="L30" s="12"/>
      <c r="M30" s="12"/>
      <c r="N30" s="12"/>
      <c r="O30" s="107"/>
      <c r="P30" s="12"/>
      <c r="Q30" s="12"/>
    </row>
    <row r="31" spans="2:17" ht="15.95" customHeight="1" x14ac:dyDescent="0.25">
      <c r="B31" s="39">
        <v>2022</v>
      </c>
      <c r="C31" t="s">
        <v>68</v>
      </c>
      <c r="D31" s="43">
        <v>3890</v>
      </c>
      <c r="E31" s="12" t="s">
        <v>58</v>
      </c>
      <c r="G31" s="39"/>
      <c r="I31" s="43"/>
      <c r="J31" s="12"/>
      <c r="K31" s="12"/>
      <c r="L31" s="12"/>
      <c r="M31" s="12"/>
      <c r="N31" s="12"/>
      <c r="O31" s="107"/>
      <c r="P31" s="12"/>
      <c r="Q31" s="12"/>
    </row>
    <row r="32" spans="2:17" ht="15.95" customHeight="1" x14ac:dyDescent="0.25">
      <c r="B32" s="39">
        <v>2023</v>
      </c>
      <c r="C32" s="11" t="s">
        <v>69</v>
      </c>
      <c r="D32" s="43">
        <v>180</v>
      </c>
      <c r="E32" s="12" t="s">
        <v>56</v>
      </c>
      <c r="G32" s="39"/>
      <c r="H32" s="11"/>
      <c r="I32" s="43"/>
      <c r="J32" s="12"/>
      <c r="K32" s="12"/>
      <c r="L32" s="12"/>
      <c r="M32" s="12"/>
      <c r="N32" s="12"/>
      <c r="O32" s="107"/>
      <c r="P32" s="12"/>
      <c r="Q32" s="12"/>
    </row>
    <row r="33" spans="2:17" ht="15.95" customHeight="1" x14ac:dyDescent="0.25">
      <c r="B33" s="39">
        <v>2024</v>
      </c>
      <c r="C33" s="11" t="s">
        <v>67</v>
      </c>
      <c r="D33" s="43">
        <v>660</v>
      </c>
      <c r="E33" s="12" t="s">
        <v>57</v>
      </c>
      <c r="G33" s="39"/>
      <c r="H33" s="11"/>
      <c r="I33" s="43"/>
      <c r="J33" s="12"/>
      <c r="K33" s="12"/>
      <c r="L33" s="12"/>
      <c r="M33" s="12"/>
      <c r="N33" s="12"/>
      <c r="O33" s="107"/>
      <c r="P33" s="12"/>
      <c r="Q33" s="12"/>
    </row>
    <row r="34" spans="2:17" ht="15.95" customHeight="1" thickBot="1" x14ac:dyDescent="0.3">
      <c r="B34" s="41">
        <v>2025</v>
      </c>
      <c r="C34" s="11" t="s">
        <v>70</v>
      </c>
      <c r="D34" s="44">
        <v>899</v>
      </c>
      <c r="E34" s="13" t="s">
        <v>58</v>
      </c>
      <c r="G34" s="41"/>
      <c r="H34" s="11"/>
      <c r="I34" s="44"/>
      <c r="J34" s="13"/>
      <c r="K34" s="13"/>
      <c r="L34" s="13"/>
      <c r="M34" s="13"/>
      <c r="N34" s="13"/>
      <c r="O34" s="108"/>
      <c r="P34" s="13"/>
      <c r="Q34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525D1BAF5E45498A18186E7D0FB776" ma:contentTypeVersion="0" ma:contentTypeDescription="Crie um novo documento." ma:contentTypeScope="" ma:versionID="16b0b5c74e1e737951c86f60d44a31a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978f746c3a1c47dbaea02d3be93aa98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777097D-E59B-4BAF-B554-EE4337B7979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80B0CE6-FBCE-4683-B26A-45B25E58F1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0126AB6-A8E7-40F1-B983-04B5082748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HOME</vt:lpstr>
      <vt:lpstr>VENDAS</vt:lpstr>
      <vt:lpstr>APURAÇÃO SUBTOTAIS</vt:lpstr>
      <vt:lpstr>CONSOLIDAÇÃO VALORES</vt:lpstr>
      <vt:lpstr>TABELA DINÂMICA</vt:lpstr>
      <vt:lpstr>DADOS GRÁFICO</vt:lpstr>
      <vt:lpstr>PEDIDOS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Home</cp:lastModifiedBy>
  <dcterms:created xsi:type="dcterms:W3CDTF">2011-05-09T13:39:36Z</dcterms:created>
  <dcterms:modified xsi:type="dcterms:W3CDTF">2021-07-30T19:37:56Z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0x010100FA525D1BAF5E45498A18186E7D0FB776</vt:lpwstr>
  </property>
</Properties>
</file>