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Faculdade\ADS\1 M\Programação em Microinformática\Projeto\Learning-VBA\INFOTECH\"/>
    </mc:Choice>
  </mc:AlternateContent>
  <xr:revisionPtr revIDLastSave="0" documentId="13_ncr:1_{DF63AD86-6530-4B3F-A383-73953F03777B}" xr6:coauthVersionLast="47" xr6:coauthVersionMax="47" xr10:uidLastSave="{00000000-0000-0000-0000-000000000000}"/>
  <bookViews>
    <workbookView xWindow="-120" yWindow="-120" windowWidth="20730" windowHeight="11160" tabRatio="1000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1" r:id="rId5"/>
    <sheet name="TABELA ESTÁTICA" sheetId="10" r:id="rId6"/>
    <sheet name="GRÁFICO COMPARATIVO" sheetId="12" r:id="rId7"/>
    <sheet name="DADOS GRÁFICO" sheetId="7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F11" i="2"/>
  <c r="I17" i="2"/>
  <c r="I18" i="2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H18" i="2"/>
  <c r="H10" i="2"/>
  <c r="I10" i="2" s="1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  <c r="P18" i="2" l="1"/>
  <c r="P12" i="2"/>
  <c r="P15" i="2"/>
  <c r="P10" i="2"/>
  <c r="P16" i="2"/>
  <c r="P13" i="2"/>
  <c r="P17" i="2"/>
  <c r="H20" i="2"/>
  <c r="H22" i="2" s="1"/>
  <c r="H24" i="2" s="1"/>
  <c r="P14" i="2"/>
  <c r="P11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<sst xmlns="http://schemas.openxmlformats.org/spreadsheetml/2006/main" count="473" uniqueCount="152">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</sst>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 codeName="Gráfico2"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cadastro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planilha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A7" zoomScaleNormal="100" workbookViewId="0">
      <selection activeCell="Q18" sqref="Q18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N27" sqref="N27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1</v>
      </c>
    </row>
    <row r="2" spans="1:21" ht="19.5" thickBot="1" x14ac:dyDescent="0.3">
      <c r="B2" s="99" t="s">
        <v>3</v>
      </c>
      <c r="C2" s="98"/>
      <c r="D2" s="7"/>
      <c r="E2" s="172"/>
      <c r="F2" s="172"/>
      <c r="G2" s="172"/>
      <c r="H2" s="172"/>
      <c r="I2" s="172"/>
      <c r="J2" s="172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73" t="s">
        <v>2</v>
      </c>
      <c r="C4" s="174"/>
      <c r="D4" s="174"/>
      <c r="E4" s="174"/>
      <c r="F4" s="174"/>
      <c r="G4" s="174"/>
      <c r="H4" s="174"/>
      <c r="I4" s="174"/>
      <c r="J4" s="175"/>
    </row>
    <row r="5" spans="1:21" ht="15.95" customHeight="1" x14ac:dyDescent="0.25">
      <c r="B5" s="86" t="s">
        <v>0</v>
      </c>
      <c r="C5" s="176"/>
      <c r="D5" s="177"/>
      <c r="E5" s="177"/>
      <c r="F5" s="177"/>
      <c r="G5" s="177"/>
      <c r="H5" s="177"/>
      <c r="I5" s="177"/>
      <c r="J5" s="178"/>
    </row>
    <row r="6" spans="1:21" ht="15.95" customHeight="1" thickBot="1" x14ac:dyDescent="0.3">
      <c r="B6" s="87" t="s">
        <v>1</v>
      </c>
      <c r="C6" s="179"/>
      <c r="D6" s="180"/>
      <c r="E6" s="183" t="s">
        <v>91</v>
      </c>
      <c r="F6" s="184"/>
      <c r="G6" s="179"/>
      <c r="H6" s="181"/>
      <c r="I6" s="181"/>
      <c r="J6" s="182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35" t="s">
        <v>8</v>
      </c>
      <c r="C8" s="135"/>
      <c r="D8" s="135"/>
      <c r="E8" s="135"/>
      <c r="F8" s="135"/>
      <c r="G8" s="135"/>
      <c r="H8" s="135"/>
      <c r="I8" s="135"/>
      <c r="J8" s="135"/>
      <c r="L8" s="119" t="s">
        <v>12</v>
      </c>
      <c r="M8" s="120"/>
      <c r="N8" s="120"/>
      <c r="O8" s="120"/>
      <c r="P8" s="120"/>
      <c r="Q8" s="121"/>
    </row>
    <row r="9" spans="1:21" ht="15.95" customHeight="1" thickBot="1" x14ac:dyDescent="0.3">
      <c r="B9" s="94" t="s">
        <v>13</v>
      </c>
      <c r="C9" s="141" t="s">
        <v>14</v>
      </c>
      <c r="D9" s="141"/>
      <c r="E9" s="141"/>
      <c r="F9" s="94" t="s">
        <v>15</v>
      </c>
      <c r="G9" s="94" t="s">
        <v>16</v>
      </c>
      <c r="H9" s="94" t="s">
        <v>17</v>
      </c>
      <c r="I9" s="141" t="s">
        <v>18</v>
      </c>
      <c r="J9" s="141"/>
      <c r="L9" s="122"/>
      <c r="M9" s="123"/>
      <c r="N9" s="123"/>
      <c r="O9" s="123"/>
      <c r="P9" s="123"/>
      <c r="Q9" s="124"/>
    </row>
    <row r="10" spans="1:21" ht="15.95" customHeight="1" x14ac:dyDescent="0.25">
      <c r="B10" s="95">
        <v>2002</v>
      </c>
      <c r="C10" s="143" t="str">
        <f>IF(B10="","",VLOOKUP(B10,PEDIDOS!$B$9:$E$34,2,FALSE))</f>
        <v>Notebook Dell</v>
      </c>
      <c r="D10" s="143"/>
      <c r="E10" s="143"/>
      <c r="F10" s="95" t="str">
        <f>IF(B10="","",VLOOKUP(B10,PEDIDOS!$B$9:$E$34,4,FALSE))</f>
        <v>Informática</v>
      </c>
      <c r="G10" s="96">
        <v>2</v>
      </c>
      <c r="H10" s="97">
        <f>IF(B10="","",VLOOKUP(B10,PEDIDOS!$B$9:$E$34,3,FALSE))</f>
        <v>1890</v>
      </c>
      <c r="I10" s="142">
        <f>IF(OR(G10="",H10=""),"",PRODUCT(G10:H10))</f>
        <v>3780</v>
      </c>
      <c r="J10" s="142"/>
      <c r="L10" s="136" t="s">
        <v>110</v>
      </c>
      <c r="M10" s="137"/>
      <c r="N10" s="137"/>
      <c r="O10" s="138"/>
      <c r="P10" s="139">
        <f>SMALL(H10:H18,2)</f>
        <v>98</v>
      </c>
      <c r="Q10" s="140"/>
    </row>
    <row r="11" spans="1:21" ht="15.95" customHeight="1" x14ac:dyDescent="0.25">
      <c r="B11" s="95">
        <v>2005</v>
      </c>
      <c r="C11" s="143" t="str">
        <f>IF(B11="","",VLOOKUP(B11,PEDIDOS!$B$9:$E$34,2,FALSE))</f>
        <v>Telefone sem fio Motorola</v>
      </c>
      <c r="D11" s="143"/>
      <c r="E11" s="143"/>
      <c r="F11" s="95" t="str">
        <f>IF(B11="","",VLOOKUP(B11,PEDIDOS!$B$9:$E$34,4,FALSE))</f>
        <v>Telefonia</v>
      </c>
      <c r="G11" s="96">
        <v>5</v>
      </c>
      <c r="H11" s="97">
        <f>IF(B11="","",VLOOKUP(B11,PEDIDOS!$B$9:$E$34,3,FALSE))</f>
        <v>125</v>
      </c>
      <c r="I11" s="142">
        <f t="shared" ref="I11:I18" si="0">IF(OR(G11="",H11=""),"",PRODUCT(G11:H11))</f>
        <v>625</v>
      </c>
      <c r="J11" s="142"/>
      <c r="L11" s="129" t="s">
        <v>111</v>
      </c>
      <c r="M11" s="130"/>
      <c r="N11" s="130"/>
      <c r="O11" s="131"/>
      <c r="P11" s="125">
        <f>LARGE(H10:H18,4)</f>
        <v>145</v>
      </c>
      <c r="Q11" s="126"/>
    </row>
    <row r="12" spans="1:21" ht="15.95" customHeight="1" x14ac:dyDescent="0.25">
      <c r="B12" s="95">
        <v>2008</v>
      </c>
      <c r="C12" s="143" t="str">
        <f>IF(B12="","",VLOOKUP(B12,PEDIDOS!$B$9:$E$34,2,FALSE))</f>
        <v>Teclado sem fio Microsoft</v>
      </c>
      <c r="D12" s="143"/>
      <c r="E12" s="143"/>
      <c r="F12" s="95" t="str">
        <f>IF(B12="","",VLOOKUP(B12,PEDIDOS!$B$9:$E$34,4,FALSE))</f>
        <v>Informática</v>
      </c>
      <c r="G12" s="96">
        <v>10</v>
      </c>
      <c r="H12" s="97">
        <f>IF(B12="","",VLOOKUP(B12,PEDIDOS!$B$9:$E$34,3,FALSE))</f>
        <v>145</v>
      </c>
      <c r="I12" s="142">
        <f t="shared" si="0"/>
        <v>1450</v>
      </c>
      <c r="J12" s="142"/>
      <c r="L12" s="129" t="s">
        <v>19</v>
      </c>
      <c r="M12" s="130"/>
      <c r="N12" s="130"/>
      <c r="O12" s="131"/>
      <c r="P12" s="125">
        <f>AVERAGE(I10:J18)</f>
        <v>1331.8571428571429</v>
      </c>
      <c r="Q12" s="126"/>
    </row>
    <row r="13" spans="1:21" ht="15.95" customHeight="1" x14ac:dyDescent="0.25">
      <c r="B13" s="95">
        <v>2010</v>
      </c>
      <c r="C13" s="143" t="str">
        <f>IF(B13="","",VLOOKUP(B13,PEDIDOS!$B$9:$E$34,2,FALSE))</f>
        <v>Placa de Captura TV Pinnacle</v>
      </c>
      <c r="D13" s="143"/>
      <c r="E13" s="143"/>
      <c r="F13" s="95" t="str">
        <f>IF(B13="","",VLOOKUP(B13,PEDIDOS!$B$9:$E$34,4,FALSE))</f>
        <v>Informática</v>
      </c>
      <c r="G13" s="96">
        <v>2</v>
      </c>
      <c r="H13" s="97">
        <f>IF(B13="","",VLOOKUP(B13,PEDIDOS!$B$9:$E$34,3,FALSE))</f>
        <v>98</v>
      </c>
      <c r="I13" s="142">
        <f t="shared" si="0"/>
        <v>196</v>
      </c>
      <c r="J13" s="142"/>
      <c r="L13" s="129" t="s">
        <v>97</v>
      </c>
      <c r="M13" s="130"/>
      <c r="N13" s="130"/>
      <c r="O13" s="131"/>
      <c r="P13" s="125">
        <f>SUMIF(F10:F18,"Informática",I10:J18)</f>
        <v>5426</v>
      </c>
      <c r="Q13" s="126"/>
    </row>
    <row r="14" spans="1:21" ht="15.95" customHeight="1" x14ac:dyDescent="0.25">
      <c r="B14" s="95">
        <v>2015</v>
      </c>
      <c r="C14" s="143" t="str">
        <f>IF(B14="","",VLOOKUP(B14,PEDIDOS!$B$9:$E$34,2,FALSE))</f>
        <v>Blu-Ray e DVD Player  - Sony</v>
      </c>
      <c r="D14" s="143"/>
      <c r="E14" s="143"/>
      <c r="F14" s="95" t="str">
        <f>IF(B14="","",VLOOKUP(B14,PEDIDOS!$B$9:$E$34,4,FALSE))</f>
        <v>Eletrônicos</v>
      </c>
      <c r="G14" s="96">
        <v>1</v>
      </c>
      <c r="H14" s="97">
        <f>IF(B14="","",VLOOKUP(B14,PEDIDOS!$B$9:$E$34,3,FALSE))</f>
        <v>632</v>
      </c>
      <c r="I14" s="142">
        <f t="shared" si="0"/>
        <v>632</v>
      </c>
      <c r="J14" s="142"/>
      <c r="L14" s="129" t="s">
        <v>98</v>
      </c>
      <c r="M14" s="130"/>
      <c r="N14" s="130"/>
      <c r="O14" s="131"/>
      <c r="P14" s="125">
        <f>SUMIF(F10:F18,"Telefonia",I10:J18)</f>
        <v>2125</v>
      </c>
      <c r="Q14" s="126"/>
    </row>
    <row r="15" spans="1:21" ht="15.95" customHeight="1" x14ac:dyDescent="0.25">
      <c r="B15" s="95">
        <v>2018</v>
      </c>
      <c r="C15" s="143" t="str">
        <f>IF(B15="","",VLOOKUP(B15,PEDIDOS!$B$9:$E$34,2,FALSE))</f>
        <v>Antena de TV DHTV - Benq</v>
      </c>
      <c r="D15" s="143"/>
      <c r="E15" s="143"/>
      <c r="F15" s="95" t="str">
        <f>IF(B15="","",VLOOKUP(B15,PEDIDOS!$B$9:$E$34,4,FALSE))</f>
        <v>Eletrônicos</v>
      </c>
      <c r="G15" s="96">
        <v>6</v>
      </c>
      <c r="H15" s="97">
        <f>IF(B15="","",VLOOKUP(B15,PEDIDOS!$B$9:$E$34,3,FALSE))</f>
        <v>190</v>
      </c>
      <c r="I15" s="142">
        <f t="shared" si="0"/>
        <v>1140</v>
      </c>
      <c r="J15" s="142"/>
      <c r="L15" s="129" t="s">
        <v>99</v>
      </c>
      <c r="M15" s="130"/>
      <c r="N15" s="130"/>
      <c r="O15" s="131"/>
      <c r="P15" s="125">
        <f>SUMIF(F10:F18,"Eletrônicos",I10:J18)</f>
        <v>1772</v>
      </c>
      <c r="Q15" s="126"/>
    </row>
    <row r="16" spans="1:21" ht="15.95" customHeight="1" x14ac:dyDescent="0.25">
      <c r="B16" s="95">
        <v>2020</v>
      </c>
      <c r="C16" s="143" t="str">
        <f>IF(B16="","",VLOOKUP(B16,PEDIDOS!$B$9:$E$34,2,FALSE))</f>
        <v>Vivo Chip Avulso DDD 11</v>
      </c>
      <c r="D16" s="143"/>
      <c r="E16" s="143"/>
      <c r="F16" s="95" t="str">
        <f>IF(B16="","",VLOOKUP(B16,PEDIDOS!$B$9:$E$34,4,FALSE))</f>
        <v>Telefonia</v>
      </c>
      <c r="G16" s="96">
        <v>100</v>
      </c>
      <c r="H16" s="97">
        <f>IF(B16="","",VLOOKUP(B16,PEDIDOS!$B$9:$E$34,3,FALSE))</f>
        <v>15</v>
      </c>
      <c r="I16" s="142">
        <f t="shared" si="0"/>
        <v>1500</v>
      </c>
      <c r="J16" s="142"/>
      <c r="L16" s="129" t="s">
        <v>9</v>
      </c>
      <c r="M16" s="130"/>
      <c r="N16" s="130"/>
      <c r="O16" s="131"/>
      <c r="P16" s="127">
        <f>SUMIF(F10:F18,"Informática",G10:G18)</f>
        <v>14</v>
      </c>
      <c r="Q16" s="128"/>
    </row>
    <row r="17" spans="2:17" ht="15.95" customHeight="1" x14ac:dyDescent="0.25">
      <c r="B17" s="95"/>
      <c r="C17" s="143" t="str">
        <f>IF(B17="","",VLOOKUP(B17,PEDIDOS!$B$9:$E$34,2,FALSE))</f>
        <v/>
      </c>
      <c r="D17" s="143"/>
      <c r="E17" s="143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42" t="str">
        <f t="shared" si="0"/>
        <v/>
      </c>
      <c r="J17" s="142"/>
      <c r="L17" s="129" t="s">
        <v>10</v>
      </c>
      <c r="M17" s="130"/>
      <c r="N17" s="130"/>
      <c r="O17" s="131"/>
      <c r="P17" s="127">
        <f>SUMIF(F10:F18,"Telefonia",G10:G18)</f>
        <v>105</v>
      </c>
      <c r="Q17" s="128"/>
    </row>
    <row r="18" spans="2:17" ht="15.95" customHeight="1" thickBot="1" x14ac:dyDescent="0.3">
      <c r="B18" s="95"/>
      <c r="C18" s="143" t="str">
        <f>IF(B18="","",VLOOKUP(B18,PEDIDOS!$B$9:$E$34,2,FALSE))</f>
        <v/>
      </c>
      <c r="D18" s="143"/>
      <c r="E18" s="143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42" t="str">
        <f t="shared" si="0"/>
        <v/>
      </c>
      <c r="J18" s="142"/>
      <c r="L18" s="132" t="s">
        <v>11</v>
      </c>
      <c r="M18" s="133"/>
      <c r="N18" s="133"/>
      <c r="O18" s="134"/>
      <c r="P18" s="117">
        <f>SUMIF(F10:F18,"Eletrônicos",G10:G18)</f>
        <v>7</v>
      </c>
      <c r="Q18" s="118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51"/>
      <c r="C20" s="152"/>
      <c r="D20" s="152"/>
      <c r="E20" s="8"/>
      <c r="F20" s="88" t="s">
        <v>5</v>
      </c>
      <c r="G20" s="89"/>
      <c r="H20" s="157">
        <f>SUM(I10:J18)</f>
        <v>9323</v>
      </c>
      <c r="I20" s="158"/>
      <c r="J20" s="159"/>
      <c r="L20" s="162" t="s">
        <v>92</v>
      </c>
      <c r="M20" s="163"/>
      <c r="N20" s="163"/>
      <c r="O20" s="164"/>
    </row>
    <row r="21" spans="2:17" ht="15.95" customHeight="1" x14ac:dyDescent="0.25">
      <c r="B21" s="153"/>
      <c r="C21" s="154"/>
      <c r="D21" s="154"/>
      <c r="E21" s="9"/>
      <c r="F21" s="90" t="s">
        <v>4</v>
      </c>
      <c r="G21" s="91"/>
      <c r="H21" s="169"/>
      <c r="I21" s="170"/>
      <c r="J21" s="171"/>
      <c r="L21" s="57" t="s">
        <v>93</v>
      </c>
      <c r="M21" s="58"/>
      <c r="N21" s="167" t="s">
        <v>112</v>
      </c>
      <c r="O21" s="168"/>
    </row>
    <row r="22" spans="2:17" ht="15.95" customHeight="1" x14ac:dyDescent="0.25">
      <c r="B22" s="153"/>
      <c r="C22" s="154"/>
      <c r="D22" s="154"/>
      <c r="E22" s="9"/>
      <c r="F22" s="90" t="s">
        <v>6</v>
      </c>
      <c r="G22" s="91"/>
      <c r="H22" s="144">
        <f>IF(OR(A1=2,A1=3,A1=""),"Sem desconto",IF(A1=1,H20*20%,H20*5%))</f>
        <v>1864.6000000000001</v>
      </c>
      <c r="I22" s="142"/>
      <c r="J22" s="145"/>
      <c r="L22" s="59" t="s">
        <v>94</v>
      </c>
      <c r="M22" s="60"/>
      <c r="N22" s="146" t="s">
        <v>115</v>
      </c>
      <c r="O22" s="147"/>
    </row>
    <row r="23" spans="2:17" ht="15.95" customHeight="1" x14ac:dyDescent="0.25">
      <c r="B23" s="153"/>
      <c r="C23" s="154"/>
      <c r="D23" s="154"/>
      <c r="E23" s="9"/>
      <c r="F23" s="90" t="s">
        <v>114</v>
      </c>
      <c r="G23" s="91"/>
      <c r="H23" s="144" t="str">
        <f>IF(A1=3,(H20*109.69%)/3,"Não parcelado")</f>
        <v>Não parcelado</v>
      </c>
      <c r="I23" s="142"/>
      <c r="J23" s="145"/>
      <c r="L23" s="59" t="s">
        <v>113</v>
      </c>
      <c r="M23" s="60"/>
      <c r="N23" s="146" t="s">
        <v>116</v>
      </c>
      <c r="O23" s="147"/>
    </row>
    <row r="24" spans="2:17" ht="15.95" customHeight="1" thickBot="1" x14ac:dyDescent="0.3">
      <c r="B24" s="155"/>
      <c r="C24" s="156"/>
      <c r="D24" s="156"/>
      <c r="E24" s="10"/>
      <c r="F24" s="92" t="s">
        <v>7</v>
      </c>
      <c r="G24" s="93"/>
      <c r="H24" s="148">
        <f>IF(OR(A1=1,A1=4),H20-H22,IF(A1=2,H20*104.75%,H23*3))</f>
        <v>7458.4</v>
      </c>
      <c r="I24" s="149"/>
      <c r="J24" s="150"/>
      <c r="L24" s="160" t="s">
        <v>95</v>
      </c>
      <c r="M24" s="161"/>
      <c r="N24" s="165" t="s">
        <v>96</v>
      </c>
      <c r="O24" s="166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sheetPr codeName="Planilha1"/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L30" sqref="L30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TABELA ESTÁTICA</vt:lpstr>
      <vt:lpstr>DADOS GRÁFICO</vt:lpstr>
      <vt:lpstr>PEDIDOS</vt:lpstr>
      <vt:lpstr>GRÁFICO COMPARATIVO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2021-08-16T00:29:47Z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